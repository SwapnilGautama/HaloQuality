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8" documentId="8_{2E62AD52-5098-498F-A65C-3298EEE24EE4}" xr6:coauthVersionLast="47" xr6:coauthVersionMax="47" xr10:uidLastSave="{B9AEC2E0-A073-4BF9-A7E4-9C44662F9227}"/>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<sst xmlns="http://schemas.openxmlformats.org/spreadsheetml/2006/main" count="4379" uniqueCount="1336">
  <si>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</si>
  <si>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</si>
  <si>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</si>
  <si>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</si>
  <si>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</si>
  <si>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</si>
  <si>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</si>
  <si>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</si>
  <si>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</si>
  <si>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</si>
  <si>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</si>
  <si>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</si>
  <si>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</si>
  <si>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</si>
  <si>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</si>
  <si>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</si>
  <si>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</si>
  <si>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</si>
  <si>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</si>
  <si>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</si>
  <si>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</si>
  <si>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</si>
  <si>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</si>
  <si>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</si>
  <si>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</si>
  <si>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</si>
  <si>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</si>
  <si>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</si>
  <si>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</si>
  <si>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</si>
  <si>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</si>
  <si>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</si>
  <si>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</si>
  <si>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</si>
  <si>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</si>
  <si>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</si>
  <si>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</si>
  <si>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</si>
  <si>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</si>
  <si>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</si>
  <si>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</si>
  <si>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</si>
  <si>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</si>
  <si>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</si>
  <si>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</si>
  <si>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</si>
  <si>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</si>
  <si>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</si>
  <si>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</si>
  <si>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</si>
  <si>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</si>
  <si>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</si>
  <si>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</si>
  <si>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</si>
  <si>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</si>
  <si>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</si>
  <si>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</si>
  <si>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</si>
  <si>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</si>
  <si>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</si>
  <si>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</si>
  <si>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</si>
  <si>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</si>
  <si>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</si>
  <si>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</si>
  <si>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</si>
  <si>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</si>
  <si>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</si>
  <si>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</si>
  <si>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</si>
  <si>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</si>
  <si>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</si>
  <si>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</si>
  <si>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</si>
  <si>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</si>
  <si>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</si>
  <si>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</si>
  <si>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</si>
  <si>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</si>
  <si>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</si>
  <si>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</si>
  <si>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</si>
  <si>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</si>
  <si>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</si>
  <si>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</si>
  <si>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</si>
  <si>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</si>
  <si>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</si>
  <si>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</si>
  <si>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</si>
  <si>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</si>
  <si>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</si>
  <si>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</si>
  <si>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</si>
  <si>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</si>
  <si>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</si>
  <si>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</si>
  <si>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</si>
  <si>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</si>
  <si>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</si>
  <si>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</si>
  <si>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</si>
  <si>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</si>
  <si>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</si>
  <si>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</si>
  <si>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</si>
  <si>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</si>
  <si>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</si>
  <si>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</si>
  <si>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</si>
  <si>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</si>
  <si>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</si>
  <si>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</si>
  <si>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</si>
  <si>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</si>
  <si>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</si>
  <si>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</si>
  <si>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</si>
  <si>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</si>
  <si>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</si>
  <si>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</si>
  <si>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</si>
  <si>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</si>
  <si>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</si>
  <si>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</si>
  <si>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</si>
  <si>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</si>
  <si>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</si>
  <si>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</si>
  <si>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</si>
  <si>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</si>
  <si>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</si>
  <si>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</si>
  <si>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</si>
  <si>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</si>
  <si>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</si>
  <si>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</si>
  <si>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</si>
  <si>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</si>
  <si>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</si>
  <si>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</si>
  <si>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</si>
  <si>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</si>
  <si>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</si>
  <si>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</si>
  <si>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</si>
  <si>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</si>
  <si>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</si>
  <si>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</si>
  <si>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</si>
  <si>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</si>
  <si>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</si>
  <si>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</si>
  <si>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</si>
  <si>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</si>
  <si>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</si>
  <si>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</si>
  <si>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</si>
  <si>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</si>
  <si>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</si>
  <si>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</si>
  <si>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</si>
  <si>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</si>
  <si>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</si>
  <si>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</si>
  <si>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</si>
  <si>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</si>
  <si>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</si>
  <si>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</si>
  <si>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</si>
  <si>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</si>
  <si>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</si>
  <si>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</si>
  <si>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</si>
  <si>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</si>
  <si>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</si>
  <si>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</si>
  <si>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</si>
  <si>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</si>
  <si>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</si>
  <si>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</si>
  <si>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</si>
  <si>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</si>
  <si>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</si>
  <si>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</si>
  <si>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</si>
  <si>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</si>
  <si>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</si>
  <si>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</si>
  <si>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</si>
  <si>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</si>
  <si>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</si>
  <si>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</si>
  <si>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</si>
  <si>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</si>
  <si>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</si>
  <si>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</si>
  <si>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</si>
  <si>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</si>
  <si>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</si>
  <si>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</si>
  <si>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</si>
  <si>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</si>
  <si>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</si>
  <si>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family val="2"/>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family val="2"/>
      </rPr>
      <t>her retirement on the 05/07/025 because the paperwork that she sent back is more than 6 months old so she was expecting the new recalculation.</t>
    </r>
    <r>
      <rPr>
        <sz val="11"/>
        <color rgb="FF000000"/>
        <rFont val="Aptos Narrow"/>
        <family val="2"/>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</si>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</sst>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family val="2"/>
      <scheme val="major"/>
    </font>
    <font>
      <b/>
      <sz val="10"/>
      <color theme="1"/>
      <name val="Calibri"/>
      <family val="2"/>
    </font>
    <font>
      <b/>
      <sz val="11"/>
      <color rgb="FF000000"/>
      <name val="Calibri"/>
      <family val="2"/>
    </font>
    <font>
      <sz val="10"/>
      <color theme="1"/>
      <name val="Aptos Display"/>
      <family val="2"/>
      <scheme val="major"/>
    </font>
    <font>
      <sz val="11"/>
      <color rgb="FF000000"/>
      <name val="Aptos Narrow"/>
      <family val="2"/>
    </font>
    <font>
      <sz val="11"/>
      <color rgb="FF000000"/>
      <name val="Aptos Narrow"/>
      <family val="2"/>
    </font>
    <font>
      <sz val="10"/>
      <color theme="1"/>
      <name val="Calibri"/>
      <family val="2"/>
    </font>
    <font>
      <sz val="11"/>
      <color rgb="FF000000"/>
      <name val="Calibri"/>
      <family val="2"/>
    </font>
    <font>
      <sz val="11"/>
      <color rgb="FF242424"/>
      <name val="Aptos Narrow"/>
      <family val="2"/>
    </font>
    <font>
      <sz val="10"/>
      <color theme="1"/>
      <name val="Aptos Display"/>
      <family val="2"/>
      <scheme val="major"/>
    </font>
    <font>
      <sz val="10"/>
      <color theme="1"/>
      <name val="Calibri"/>
      <family val="2"/>
    </font>
    <font>
      <b/>
      <sz val="11"/>
      <color rgb="FF000000"/>
      <name val="Aptos Narrow"/>
      <family val="2"/>
    </font>
    <font>
      <sz val="10"/>
      <color rgb="FF000000"/>
      <name val="Aptos Display"/>
      <family val="2"/>
    </font>
    <font>
      <sz val="11"/>
      <color rgb="FF000000"/>
      <name val="Calibri"/>
      <family val="2"/>
    </font>
    <font>
      <sz val="11"/>
      <color rgb="FF000000"/>
      <name val="Aptos"/>
      <family val="2"/>
    </font>
    <font>
      <sz val="10"/>
      <color rgb="FF000000"/>
      <name val="Aptos Display"/>
      <family val="2"/>
    </font>
    <font>
      <sz val="11"/>
      <color rgb="FF000000"/>
      <name val="Aptos Narrow"/>
      <family val="2"/>
      <scheme val="minor"/>
    </font>
    <font>
      <sz val="10"/>
      <color rgb="FF000000"/>
      <name val="Calibri"/>
      <family val="2"/>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amily val="2"/>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4"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1" sqref="F1"/>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45663</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45663</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45663</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45663</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45663</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45663</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45663</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45663</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45663</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45663</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45663</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45663</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45663</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45663</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45663</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45663</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45663</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45663</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45670</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45663</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45663</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45663</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45663</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45663</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45663</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45663</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45663</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45663</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45663</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45663</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45663</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45673</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45673</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45673</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45673</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45673</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45674</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45674</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45674</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45674</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45674</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45674</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45675</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45675</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45675</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45675</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45676</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45676</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45677</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45677</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45677</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45680</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45680</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45680</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45680</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45680</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45681</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45681</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45681</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45681</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45681</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45682</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45682</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45682</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45682</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45684</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45659</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45659</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45659</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45659</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45658</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45661</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45662</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45661</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45663</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45674</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45674</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45668</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45668</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45680</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45674</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45675</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45675</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45675</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45675</v>
      </c>
      <c r="BK86" s="69"/>
      <c r="BL86" s="69">
        <f>BR86</f>
        <v>0</v>
      </c>
      <c r="BM86" s="71"/>
      <c r="BN86" s="69"/>
      <c r="BO86" s="69"/>
      <c r="BP86" s="70"/>
      <c r="BQ86" s="70"/>
      <c r="BU86" s="23"/>
    </row>
    <row r="87" spans="1:73" ht="86.4" x14ac:dyDescent="0.3">
      <c r="A87" s="65" t="s">
        <v>651</v>
      </c>
      <c r="B87" s="66">
        <v>45811</v>
      </c>
      <c r="D87" s="67">
        <v>38265068</v>
      </c>
      <c r="E87" s="72" t="s">
        <v>659</v>
      </c>
      <c r="F87" s="129">
        <v>45675</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45675</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45675</v>
      </c>
      <c r="BK89" s="69"/>
      <c r="BL89" s="69">
        <f>BR89</f>
        <v>0</v>
      </c>
      <c r="BM89" s="71"/>
      <c r="BN89" s="69"/>
      <c r="BO89" s="69"/>
      <c r="BP89" s="70"/>
      <c r="BQ89" s="70"/>
      <c r="BU89" s="23"/>
    </row>
    <row r="90" spans="1:73" ht="72" x14ac:dyDescent="0.3">
      <c r="A90" s="65" t="s">
        <v>651</v>
      </c>
      <c r="B90" s="66">
        <v>45810</v>
      </c>
      <c r="D90" s="67">
        <v>38258508</v>
      </c>
      <c r="E90" s="72" t="s">
        <v>652</v>
      </c>
      <c r="F90" s="129">
        <v>45675</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45675</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45675</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45675</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45675</v>
      </c>
      <c r="BK94" s="69"/>
      <c r="BL94" s="69">
        <f>BR94</f>
        <v>0</v>
      </c>
      <c r="BM94" s="71"/>
      <c r="BN94" s="69"/>
      <c r="BO94" s="69"/>
      <c r="BP94" s="70"/>
      <c r="BQ94" s="70"/>
      <c r="BU94" s="23"/>
    </row>
    <row r="95" spans="1:73" ht="144" x14ac:dyDescent="0.3">
      <c r="A95" s="65" t="s">
        <v>651</v>
      </c>
      <c r="B95" s="66">
        <v>45812</v>
      </c>
      <c r="D95" s="67">
        <v>38268051</v>
      </c>
      <c r="E95" s="72" t="s">
        <v>681</v>
      </c>
      <c r="F95" s="129">
        <v>45675</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45675</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45675</v>
      </c>
      <c r="BK97" s="69"/>
      <c r="BL97" s="69">
        <f>BR97</f>
        <v>0</v>
      </c>
      <c r="BM97" s="71"/>
      <c r="BN97" s="69"/>
      <c r="BO97" s="69"/>
      <c r="BP97" s="70"/>
      <c r="BQ97" s="70"/>
      <c r="BU97" s="23"/>
    </row>
    <row r="98" spans="1:73" x14ac:dyDescent="0.3">
      <c r="A98" s="65" t="s">
        <v>651</v>
      </c>
      <c r="B98" s="66">
        <v>45813</v>
      </c>
      <c r="D98" s="67">
        <v>38274253</v>
      </c>
      <c r="E98" s="72" t="s">
        <v>689</v>
      </c>
      <c r="F98" s="129">
        <v>45675</v>
      </c>
      <c r="BK98" s="69"/>
      <c r="BL98" s="69">
        <f>BR98</f>
        <v>0</v>
      </c>
      <c r="BM98" s="71"/>
      <c r="BN98" s="69"/>
      <c r="BO98" s="69"/>
      <c r="BP98" s="70"/>
      <c r="BQ98" s="70"/>
      <c r="BU98" s="23"/>
    </row>
    <row r="99" spans="1:73" ht="28.8" x14ac:dyDescent="0.3">
      <c r="A99" s="65" t="s">
        <v>651</v>
      </c>
      <c r="B99" s="66">
        <v>45814</v>
      </c>
      <c r="D99" s="67">
        <v>38287761</v>
      </c>
      <c r="E99" s="67" t="s">
        <v>690</v>
      </c>
      <c r="F99" s="129">
        <v>45675</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45675</v>
      </c>
      <c r="BK100" s="69"/>
      <c r="BL100" s="69">
        <f>BR100</f>
        <v>0</v>
      </c>
      <c r="BM100" s="71"/>
      <c r="BN100" s="69"/>
      <c r="BO100" s="69"/>
      <c r="BP100" s="70"/>
      <c r="BQ100" s="70"/>
      <c r="BU100" s="23"/>
    </row>
    <row r="101" spans="1:73" x14ac:dyDescent="0.3">
      <c r="A101" s="65" t="s">
        <v>651</v>
      </c>
      <c r="B101" s="66">
        <v>45814</v>
      </c>
      <c r="D101" s="75">
        <v>38288506</v>
      </c>
      <c r="E101" s="76" t="s">
        <v>668</v>
      </c>
      <c r="F101" s="129">
        <v>45675</v>
      </c>
      <c r="BK101" s="69"/>
      <c r="BL101" s="69">
        <f>BR101</f>
        <v>0</v>
      </c>
      <c r="BM101" s="71"/>
      <c r="BN101" s="69"/>
      <c r="BO101" s="69"/>
      <c r="BP101" s="70"/>
      <c r="BQ101" s="70"/>
      <c r="BU101" s="23"/>
    </row>
    <row r="102" spans="1:73" ht="86.4" x14ac:dyDescent="0.3">
      <c r="A102" s="65" t="s">
        <v>651</v>
      </c>
      <c r="B102" s="66">
        <v>45814</v>
      </c>
      <c r="D102" s="67">
        <v>38288605</v>
      </c>
      <c r="E102" s="67" t="s">
        <v>664</v>
      </c>
      <c r="F102" s="129">
        <v>45675</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45675</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45675</v>
      </c>
      <c r="BK104" s="69"/>
      <c r="BL104" s="69">
        <f>BR104</f>
        <v>0</v>
      </c>
      <c r="BM104" s="71"/>
      <c r="BN104" s="69"/>
      <c r="BO104" s="69"/>
      <c r="BP104" s="70"/>
      <c r="BQ104" s="70"/>
      <c r="BU104" s="23"/>
    </row>
    <row r="105" spans="1:73" ht="100.8" x14ac:dyDescent="0.3">
      <c r="A105" s="65" t="s">
        <v>651</v>
      </c>
      <c r="B105" s="66">
        <v>45817</v>
      </c>
      <c r="D105" s="67">
        <v>38297871</v>
      </c>
      <c r="E105" s="67" t="s">
        <v>697</v>
      </c>
      <c r="F105" s="129">
        <v>45675</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45675</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45675</v>
      </c>
      <c r="BK107" s="69"/>
      <c r="BL107" s="70">
        <f>BS107</f>
        <v>0</v>
      </c>
      <c r="BM107" s="71"/>
      <c r="BN107" s="69"/>
      <c r="BO107" s="69"/>
      <c r="BP107" s="70"/>
      <c r="BQ107" s="70"/>
      <c r="BU107" s="23"/>
    </row>
    <row r="108" spans="1:73" ht="144" x14ac:dyDescent="0.3">
      <c r="A108" s="65" t="s">
        <v>651</v>
      </c>
      <c r="B108" s="66">
        <v>45818</v>
      </c>
      <c r="D108" s="67">
        <v>38299064</v>
      </c>
      <c r="E108" s="67" t="s">
        <v>707</v>
      </c>
      <c r="F108" s="129">
        <v>45675</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45675</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45675</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45675</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45675</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45675</v>
      </c>
      <c r="BK113" s="69"/>
      <c r="BL113" s="69">
        <f>BR113</f>
        <v>0</v>
      </c>
      <c r="BM113" s="71"/>
      <c r="BN113" s="69"/>
      <c r="BO113" s="69"/>
      <c r="BP113" s="70"/>
      <c r="BQ113" s="70"/>
      <c r="BU113" s="23"/>
    </row>
    <row r="114" spans="1:73" x14ac:dyDescent="0.3">
      <c r="A114" s="65" t="s">
        <v>651</v>
      </c>
      <c r="B114" s="66">
        <v>45819</v>
      </c>
      <c r="D114" s="78">
        <v>38313912</v>
      </c>
      <c r="E114" s="78" t="s">
        <v>659</v>
      </c>
      <c r="F114" s="129">
        <v>45675</v>
      </c>
      <c r="BK114" s="69"/>
      <c r="BL114" s="70">
        <f>BS114</f>
        <v>0</v>
      </c>
      <c r="BM114" s="71"/>
      <c r="BN114" s="69"/>
      <c r="BO114" s="69"/>
      <c r="BP114" s="70"/>
      <c r="BQ114" s="70"/>
      <c r="BU114" s="23"/>
    </row>
    <row r="115" spans="1:73" ht="28.8" x14ac:dyDescent="0.3">
      <c r="A115" s="65" t="s">
        <v>651</v>
      </c>
      <c r="B115" s="66">
        <v>45820</v>
      </c>
      <c r="D115" s="78">
        <v>38320924</v>
      </c>
      <c r="E115" s="78" t="s">
        <v>724</v>
      </c>
      <c r="F115" s="129">
        <v>45675</v>
      </c>
      <c r="BK115" s="69"/>
      <c r="BL115" s="70" t="s">
        <v>725</v>
      </c>
      <c r="BM115" s="71"/>
      <c r="BN115" s="69"/>
      <c r="BO115" s="69"/>
      <c r="BP115" s="70"/>
      <c r="BQ115" s="70"/>
      <c r="BU115" s="23"/>
    </row>
    <row r="116" spans="1:73" ht="187.2" x14ac:dyDescent="0.3">
      <c r="A116" s="65" t="s">
        <v>651</v>
      </c>
      <c r="B116" s="66">
        <v>45820</v>
      </c>
      <c r="D116" s="78">
        <v>38316763</v>
      </c>
      <c r="E116" s="78" t="s">
        <v>726</v>
      </c>
      <c r="F116" s="129">
        <v>45675</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45675</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45675</v>
      </c>
      <c r="BK118" s="69" t="s">
        <v>660</v>
      </c>
      <c r="BM118" s="71"/>
      <c r="BN118" s="69"/>
      <c r="BO118" s="69" t="s">
        <v>94</v>
      </c>
      <c r="BP118" s="70"/>
      <c r="BQ118" s="70"/>
      <c r="BU118" s="23"/>
    </row>
    <row r="119" spans="1:73" x14ac:dyDescent="0.3">
      <c r="A119" s="65" t="s">
        <v>651</v>
      </c>
      <c r="B119" s="66">
        <v>45821</v>
      </c>
      <c r="D119" s="67">
        <v>38331929</v>
      </c>
      <c r="E119" s="67" t="s">
        <v>659</v>
      </c>
      <c r="F119" s="129">
        <v>45675</v>
      </c>
      <c r="BK119" s="69"/>
      <c r="BM119" s="71"/>
      <c r="BN119" s="69"/>
      <c r="BO119" s="69"/>
      <c r="BP119" s="70"/>
      <c r="BQ119" s="70"/>
      <c r="BU119" s="23"/>
    </row>
    <row r="120" spans="1:73" ht="43.2" x14ac:dyDescent="0.3">
      <c r="A120" s="65" t="s">
        <v>651</v>
      </c>
      <c r="B120" s="66">
        <v>45824</v>
      </c>
      <c r="D120" s="79">
        <v>38328558</v>
      </c>
      <c r="E120" s="79" t="s">
        <v>731</v>
      </c>
      <c r="F120" s="129">
        <v>45675</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45675</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45675</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45675</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45675</v>
      </c>
      <c r="BK124" s="69"/>
      <c r="BM124" s="71"/>
      <c r="BN124" s="69"/>
      <c r="BO124" s="69"/>
      <c r="BP124" s="70"/>
      <c r="BQ124" s="70"/>
      <c r="BU124" s="23"/>
    </row>
    <row r="125" spans="1:73" ht="86.4" x14ac:dyDescent="0.3">
      <c r="A125" s="65" t="s">
        <v>651</v>
      </c>
      <c r="B125" s="66">
        <v>45825</v>
      </c>
      <c r="D125" s="67">
        <v>38342870</v>
      </c>
      <c r="E125" s="67" t="s">
        <v>740</v>
      </c>
      <c r="F125" s="129">
        <v>45675</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45675</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45675</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45675</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45675</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45675</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45675</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45675</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45675</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45675</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45675</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45675</v>
      </c>
      <c r="BK136" s="82"/>
      <c r="BM136" s="83"/>
      <c r="BN136" s="84"/>
      <c r="BO136" s="84"/>
      <c r="BP136" s="85"/>
      <c r="BQ136" s="85"/>
      <c r="BU136" s="23"/>
    </row>
    <row r="137" spans="1:73" ht="43.2" x14ac:dyDescent="0.3">
      <c r="A137" s="65" t="s">
        <v>651</v>
      </c>
      <c r="B137" s="66">
        <v>45832.63958333333</v>
      </c>
      <c r="D137" s="82">
        <v>38368993</v>
      </c>
      <c r="E137" s="86" t="s">
        <v>758</v>
      </c>
      <c r="F137" s="129">
        <v>45675</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45675</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45675</v>
      </c>
      <c r="BK139" s="82"/>
      <c r="BM139" s="71"/>
      <c r="BN139" s="69"/>
      <c r="BO139" s="69"/>
      <c r="BP139" s="70"/>
      <c r="BQ139" s="70"/>
      <c r="BU139" s="23"/>
    </row>
    <row r="140" spans="1:73" ht="43.2" x14ac:dyDescent="0.3">
      <c r="A140" s="65" t="s">
        <v>651</v>
      </c>
      <c r="B140" s="66">
        <v>45832.411111111112</v>
      </c>
      <c r="D140" s="82">
        <v>38370978</v>
      </c>
      <c r="E140" s="86" t="s">
        <v>724</v>
      </c>
      <c r="F140" s="129">
        <v>45675</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45675</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45675</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45675</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45675</v>
      </c>
      <c r="BK144" s="82"/>
      <c r="BM144" s="71"/>
      <c r="BN144" s="69"/>
      <c r="BO144" s="69"/>
      <c r="BP144" s="70"/>
      <c r="BQ144" s="70"/>
      <c r="BU144" s="23"/>
    </row>
    <row r="145" spans="1:73" x14ac:dyDescent="0.3">
      <c r="A145" s="65" t="s">
        <v>651</v>
      </c>
      <c r="B145" s="66">
        <v>45833.588194444441</v>
      </c>
      <c r="D145" s="82">
        <v>38385240</v>
      </c>
      <c r="E145" s="86" t="s">
        <v>652</v>
      </c>
      <c r="F145" s="129">
        <v>45675</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45675</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45675</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45675</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45675</v>
      </c>
      <c r="BK149" s="82"/>
      <c r="BM149" s="87"/>
      <c r="BN149" s="70"/>
      <c r="BO149" s="69"/>
      <c r="BP149" s="70"/>
      <c r="BQ149" s="70"/>
      <c r="BU149" s="23"/>
    </row>
    <row r="150" spans="1:73" x14ac:dyDescent="0.3">
      <c r="A150" s="65" t="s">
        <v>651</v>
      </c>
      <c r="B150" s="66">
        <v>45838</v>
      </c>
      <c r="D150" s="82">
        <v>30764579</v>
      </c>
      <c r="E150" s="72" t="s">
        <v>773</v>
      </c>
      <c r="F150" s="129">
        <v>45675</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45675</v>
      </c>
      <c r="BK151" s="82"/>
      <c r="BQ151" s="70"/>
      <c r="BU151" s="23"/>
    </row>
    <row r="152" spans="1:73" ht="27.6" x14ac:dyDescent="0.3">
      <c r="A152" s="65" t="s">
        <v>776</v>
      </c>
      <c r="D152" s="89">
        <v>30695710</v>
      </c>
      <c r="E152" s="90" t="s">
        <v>777</v>
      </c>
      <c r="F152" s="129">
        <v>45675</v>
      </c>
      <c r="BL152" s="91" t="s">
        <v>778</v>
      </c>
      <c r="BM152" s="92"/>
      <c r="BN152" s="77"/>
      <c r="BO152" s="69"/>
      <c r="BP152" s="70"/>
      <c r="BU152" s="23"/>
    </row>
    <row r="153" spans="1:73" ht="55.2" x14ac:dyDescent="0.3">
      <c r="A153" s="65" t="s">
        <v>776</v>
      </c>
      <c r="D153" s="89">
        <v>30695938</v>
      </c>
      <c r="E153" s="90" t="s">
        <v>779</v>
      </c>
      <c r="F153" s="129">
        <v>45675</v>
      </c>
      <c r="BL153" s="91" t="s">
        <v>780</v>
      </c>
      <c r="BM153" s="19" t="s">
        <v>107</v>
      </c>
      <c r="BN153" s="92" t="s">
        <v>123</v>
      </c>
      <c r="BU153" s="23" t="s">
        <v>97</v>
      </c>
    </row>
    <row r="154" spans="1:73" ht="41.4" x14ac:dyDescent="0.3">
      <c r="A154" s="65" t="s">
        <v>776</v>
      </c>
      <c r="D154" s="89">
        <v>30697397</v>
      </c>
      <c r="E154" s="90" t="s">
        <v>781</v>
      </c>
      <c r="F154" s="129">
        <v>45675</v>
      </c>
      <c r="BL154" s="91" t="s">
        <v>782</v>
      </c>
      <c r="BM154" s="19" t="s">
        <v>107</v>
      </c>
      <c r="BN154" s="92" t="s">
        <v>502</v>
      </c>
      <c r="BU154" s="23" t="s">
        <v>110</v>
      </c>
    </row>
    <row r="155" spans="1:73" ht="55.2" x14ac:dyDescent="0.3">
      <c r="A155" s="65" t="s">
        <v>776</v>
      </c>
      <c r="D155" s="89">
        <v>30701706</v>
      </c>
      <c r="E155" s="90" t="s">
        <v>783</v>
      </c>
      <c r="F155" s="129">
        <v>45675</v>
      </c>
      <c r="BL155" s="91" t="s">
        <v>784</v>
      </c>
      <c r="BM155" s="19" t="s">
        <v>107</v>
      </c>
      <c r="BN155" s="37" t="s">
        <v>502</v>
      </c>
      <c r="BU155" s="23" t="s">
        <v>110</v>
      </c>
    </row>
    <row r="156" spans="1:73" ht="41.4" x14ac:dyDescent="0.3">
      <c r="A156" s="65" t="s">
        <v>776</v>
      </c>
      <c r="D156" s="89">
        <v>30700825</v>
      </c>
      <c r="E156" s="90" t="s">
        <v>785</v>
      </c>
      <c r="F156" s="129">
        <v>45675</v>
      </c>
      <c r="BL156" s="91" t="s">
        <v>786</v>
      </c>
      <c r="BM156" s="19" t="s">
        <v>107</v>
      </c>
      <c r="BN156" s="92" t="s">
        <v>153</v>
      </c>
      <c r="BU156" s="23" t="s">
        <v>110</v>
      </c>
    </row>
    <row r="157" spans="1:73" x14ac:dyDescent="0.3">
      <c r="A157" s="65" t="s">
        <v>776</v>
      </c>
      <c r="D157" s="89">
        <v>30698224</v>
      </c>
      <c r="E157" s="90" t="s">
        <v>787</v>
      </c>
      <c r="F157" s="129">
        <v>45675</v>
      </c>
      <c r="BL157" s="91"/>
      <c r="BM157" s="92"/>
      <c r="BN157" s="77"/>
      <c r="BU157" s="23"/>
    </row>
    <row r="158" spans="1:73" ht="55.2" x14ac:dyDescent="0.3">
      <c r="A158" s="65" t="s">
        <v>776</v>
      </c>
      <c r="D158" s="89">
        <v>30704590</v>
      </c>
      <c r="E158" s="90" t="s">
        <v>788</v>
      </c>
      <c r="F158" s="129">
        <v>45675</v>
      </c>
      <c r="BL158" s="91" t="s">
        <v>789</v>
      </c>
      <c r="BM158" s="19" t="s">
        <v>107</v>
      </c>
      <c r="BN158" s="37" t="s">
        <v>291</v>
      </c>
      <c r="BU158" s="13" t="s">
        <v>171</v>
      </c>
    </row>
    <row r="159" spans="1:73" ht="41.4" x14ac:dyDescent="0.3">
      <c r="A159" s="65" t="s">
        <v>776</v>
      </c>
      <c r="D159" s="89">
        <v>30704757</v>
      </c>
      <c r="E159" s="90" t="s">
        <v>790</v>
      </c>
      <c r="F159" s="129">
        <v>45675</v>
      </c>
      <c r="BL159" s="91" t="s">
        <v>791</v>
      </c>
      <c r="BM159" s="19" t="s">
        <v>107</v>
      </c>
      <c r="BN159" s="92" t="s">
        <v>123</v>
      </c>
      <c r="BU159" s="23" t="s">
        <v>97</v>
      </c>
    </row>
    <row r="160" spans="1:73" ht="55.2" x14ac:dyDescent="0.3">
      <c r="A160" s="65" t="s">
        <v>776</v>
      </c>
      <c r="D160" s="89">
        <v>30707657</v>
      </c>
      <c r="E160" s="90" t="s">
        <v>792</v>
      </c>
      <c r="F160" s="129">
        <v>45675</v>
      </c>
      <c r="BL160" s="91" t="s">
        <v>793</v>
      </c>
      <c r="BM160" s="92" t="s">
        <v>145</v>
      </c>
      <c r="BN160" s="77" t="s">
        <v>318</v>
      </c>
      <c r="BU160" s="23" t="s">
        <v>110</v>
      </c>
    </row>
    <row r="161" spans="1:73" x14ac:dyDescent="0.3">
      <c r="A161" s="65" t="s">
        <v>776</v>
      </c>
      <c r="D161" s="89">
        <v>30708911</v>
      </c>
      <c r="E161" s="90" t="s">
        <v>794</v>
      </c>
      <c r="F161" s="129">
        <v>45675</v>
      </c>
      <c r="BL161" s="91"/>
      <c r="BM161" s="92"/>
      <c r="BN161" s="77"/>
      <c r="BU161" s="23"/>
    </row>
    <row r="162" spans="1:73" ht="55.2" x14ac:dyDescent="0.3">
      <c r="A162" s="65" t="s">
        <v>776</v>
      </c>
      <c r="D162" s="89">
        <v>30709748</v>
      </c>
      <c r="E162" s="90" t="s">
        <v>795</v>
      </c>
      <c r="F162" s="129">
        <v>45675</v>
      </c>
      <c r="BL162" s="91" t="s">
        <v>796</v>
      </c>
      <c r="BM162" s="92" t="s">
        <v>145</v>
      </c>
      <c r="BN162" s="93" t="s">
        <v>797</v>
      </c>
      <c r="BU162" s="23" t="s">
        <v>97</v>
      </c>
    </row>
    <row r="163" spans="1:73" x14ac:dyDescent="0.3">
      <c r="A163" s="65" t="s">
        <v>776</v>
      </c>
      <c r="D163" s="89">
        <v>30710097</v>
      </c>
      <c r="E163" s="90" t="s">
        <v>794</v>
      </c>
      <c r="F163" s="129">
        <v>45675</v>
      </c>
      <c r="BL163" s="91"/>
      <c r="BM163" s="92"/>
      <c r="BN163" s="77"/>
      <c r="BU163" s="23"/>
    </row>
    <row r="164" spans="1:73" x14ac:dyDescent="0.3">
      <c r="A164" s="65" t="s">
        <v>776</v>
      </c>
      <c r="D164" s="89">
        <v>30710119</v>
      </c>
      <c r="E164" s="90" t="s">
        <v>794</v>
      </c>
      <c r="F164" s="129">
        <v>45675</v>
      </c>
      <c r="BL164" s="91"/>
      <c r="BM164" s="92"/>
      <c r="BN164" s="77"/>
      <c r="BU164" s="23"/>
    </row>
    <row r="165" spans="1:73" ht="27.6" x14ac:dyDescent="0.3">
      <c r="A165" s="65" t="s">
        <v>776</v>
      </c>
      <c r="D165" s="89">
        <v>30710534</v>
      </c>
      <c r="E165" s="90" t="s">
        <v>798</v>
      </c>
      <c r="F165" s="129">
        <v>45675</v>
      </c>
      <c r="BL165" s="91" t="s">
        <v>799</v>
      </c>
      <c r="BM165" s="19" t="s">
        <v>107</v>
      </c>
      <c r="BN165" s="92" t="s">
        <v>291</v>
      </c>
      <c r="BU165" s="13" t="s">
        <v>171</v>
      </c>
    </row>
    <row r="166" spans="1:73" ht="27.6" x14ac:dyDescent="0.3">
      <c r="A166" s="65" t="s">
        <v>776</v>
      </c>
      <c r="D166" s="89">
        <v>30708377</v>
      </c>
      <c r="E166" s="90" t="s">
        <v>800</v>
      </c>
      <c r="F166" s="129">
        <v>45675</v>
      </c>
      <c r="BL166" s="91" t="s">
        <v>801</v>
      </c>
      <c r="BM166" s="19" t="s">
        <v>107</v>
      </c>
      <c r="BN166" s="92" t="s">
        <v>502</v>
      </c>
      <c r="BU166" s="23" t="s">
        <v>110</v>
      </c>
    </row>
    <row r="167" spans="1:73" ht="41.4" x14ac:dyDescent="0.3">
      <c r="A167" s="65" t="s">
        <v>776</v>
      </c>
      <c r="D167" s="89">
        <v>30709669</v>
      </c>
      <c r="E167" s="90" t="s">
        <v>777</v>
      </c>
      <c r="F167" s="129">
        <v>45675</v>
      </c>
      <c r="BL167" s="91" t="s">
        <v>802</v>
      </c>
      <c r="BM167" s="19" t="s">
        <v>107</v>
      </c>
      <c r="BN167" s="92" t="s">
        <v>638</v>
      </c>
      <c r="BU167" s="13" t="s">
        <v>171</v>
      </c>
    </row>
    <row r="168" spans="1:73" ht="27.6" x14ac:dyDescent="0.3">
      <c r="A168" s="65" t="s">
        <v>776</v>
      </c>
      <c r="D168" s="89">
        <v>30712223</v>
      </c>
      <c r="E168" s="90" t="s">
        <v>779</v>
      </c>
      <c r="F168" s="129">
        <v>45675</v>
      </c>
      <c r="BL168" s="91" t="s">
        <v>803</v>
      </c>
      <c r="BM168" s="19" t="s">
        <v>107</v>
      </c>
      <c r="BN168" s="17" t="s">
        <v>220</v>
      </c>
      <c r="BU168" s="23" t="s">
        <v>110</v>
      </c>
    </row>
    <row r="169" spans="1:73" ht="55.2" x14ac:dyDescent="0.3">
      <c r="A169" s="65" t="s">
        <v>776</v>
      </c>
      <c r="D169" s="89">
        <v>30712397</v>
      </c>
      <c r="E169" s="90" t="s">
        <v>788</v>
      </c>
      <c r="F169" s="129">
        <v>45675</v>
      </c>
      <c r="BL169" s="91" t="s">
        <v>804</v>
      </c>
      <c r="BM169" s="19" t="s">
        <v>107</v>
      </c>
      <c r="BN169" s="92" t="s">
        <v>291</v>
      </c>
      <c r="BU169" s="13" t="s">
        <v>171</v>
      </c>
    </row>
    <row r="170" spans="1:73" ht="27.6" x14ac:dyDescent="0.3">
      <c r="A170" s="65" t="s">
        <v>776</v>
      </c>
      <c r="D170" s="89">
        <v>30712890</v>
      </c>
      <c r="E170" s="90" t="s">
        <v>800</v>
      </c>
      <c r="F170" s="129">
        <v>45675</v>
      </c>
      <c r="BL170" s="91" t="s">
        <v>805</v>
      </c>
      <c r="BM170" s="26" t="s">
        <v>407</v>
      </c>
      <c r="BN170" s="77" t="s">
        <v>722</v>
      </c>
      <c r="BU170" s="23" t="s">
        <v>97</v>
      </c>
    </row>
    <row r="171" spans="1:73" ht="27.6" x14ac:dyDescent="0.3">
      <c r="A171" s="65" t="s">
        <v>776</v>
      </c>
      <c r="D171" s="89">
        <v>30713382</v>
      </c>
      <c r="E171" s="90" t="s">
        <v>806</v>
      </c>
      <c r="F171" s="129">
        <v>45675</v>
      </c>
      <c r="BL171" s="91" t="s">
        <v>807</v>
      </c>
      <c r="BM171" s="19" t="s">
        <v>107</v>
      </c>
      <c r="BN171" s="92" t="s">
        <v>808</v>
      </c>
      <c r="BU171" s="23"/>
    </row>
    <row r="172" spans="1:73" ht="27.6" x14ac:dyDescent="0.3">
      <c r="A172" s="65" t="s">
        <v>776</v>
      </c>
      <c r="D172" s="89">
        <v>30713734</v>
      </c>
      <c r="E172" s="90" t="s">
        <v>800</v>
      </c>
      <c r="F172" s="129">
        <v>45675</v>
      </c>
      <c r="BL172" s="91" t="s">
        <v>809</v>
      </c>
      <c r="BM172" s="92"/>
      <c r="BN172" s="77"/>
      <c r="BU172" s="23"/>
    </row>
    <row r="173" spans="1:73" x14ac:dyDescent="0.3">
      <c r="A173" s="65" t="s">
        <v>776</v>
      </c>
      <c r="D173" s="89">
        <v>30713882</v>
      </c>
      <c r="E173" s="90" t="s">
        <v>790</v>
      </c>
      <c r="F173" s="129">
        <v>45675</v>
      </c>
      <c r="BL173" s="91" t="s">
        <v>810</v>
      </c>
      <c r="BM173" s="92"/>
      <c r="BN173" s="77"/>
      <c r="BU173" s="23"/>
    </row>
    <row r="174" spans="1:73" x14ac:dyDescent="0.3">
      <c r="A174" s="65" t="s">
        <v>776</v>
      </c>
      <c r="D174" s="89">
        <v>30711660</v>
      </c>
      <c r="E174" s="90" t="s">
        <v>811</v>
      </c>
      <c r="F174" s="129">
        <v>45675</v>
      </c>
      <c r="BL174" s="91" t="s">
        <v>812</v>
      </c>
      <c r="BM174" s="19" t="s">
        <v>107</v>
      </c>
      <c r="BN174" s="92" t="s">
        <v>291</v>
      </c>
      <c r="BU174" s="13" t="s">
        <v>171</v>
      </c>
    </row>
    <row r="175" spans="1:73" ht="55.2" x14ac:dyDescent="0.3">
      <c r="A175" s="65" t="s">
        <v>776</v>
      </c>
      <c r="D175" s="89">
        <v>30711649</v>
      </c>
      <c r="E175" s="90" t="s">
        <v>813</v>
      </c>
      <c r="F175" s="129">
        <v>45675</v>
      </c>
      <c r="BL175" s="91" t="s">
        <v>814</v>
      </c>
      <c r="BM175" s="92" t="s">
        <v>145</v>
      </c>
      <c r="BN175" s="77" t="s">
        <v>747</v>
      </c>
      <c r="BU175" s="23" t="s">
        <v>97</v>
      </c>
    </row>
    <row r="176" spans="1:73" x14ac:dyDescent="0.3">
      <c r="A176" s="65" t="s">
        <v>776</v>
      </c>
      <c r="D176" s="89">
        <v>30715797</v>
      </c>
      <c r="E176" s="90" t="s">
        <v>815</v>
      </c>
      <c r="F176" s="129">
        <v>45675</v>
      </c>
      <c r="BL176" s="91"/>
      <c r="BM176" s="92"/>
      <c r="BN176" s="77"/>
      <c r="BU176" s="23"/>
    </row>
    <row r="177" spans="1:73" ht="41.4" x14ac:dyDescent="0.3">
      <c r="A177" s="65" t="s">
        <v>776</v>
      </c>
      <c r="D177" s="89">
        <v>30718854</v>
      </c>
      <c r="E177" s="90" t="s">
        <v>816</v>
      </c>
      <c r="F177" s="129">
        <v>45675</v>
      </c>
      <c r="BL177" s="91" t="s">
        <v>817</v>
      </c>
      <c r="BM177" s="19" t="s">
        <v>177</v>
      </c>
      <c r="BN177" s="77" t="s">
        <v>818</v>
      </c>
      <c r="BU177" s="13" t="s">
        <v>171</v>
      </c>
    </row>
    <row r="178" spans="1:73" ht="55.2" x14ac:dyDescent="0.3">
      <c r="A178" s="65" t="s">
        <v>776</v>
      </c>
      <c r="D178" s="89">
        <v>30718860</v>
      </c>
      <c r="E178" s="90" t="s">
        <v>800</v>
      </c>
      <c r="F178" s="129">
        <v>45675</v>
      </c>
      <c r="BL178" s="91" t="s">
        <v>819</v>
      </c>
      <c r="BM178" s="19" t="s">
        <v>177</v>
      </c>
      <c r="BN178" s="28" t="s">
        <v>715</v>
      </c>
      <c r="BU178" s="13" t="s">
        <v>171</v>
      </c>
    </row>
    <row r="179" spans="1:73" ht="41.4" x14ac:dyDescent="0.3">
      <c r="A179" s="65" t="s">
        <v>776</v>
      </c>
      <c r="D179" s="89">
        <v>30720146</v>
      </c>
      <c r="E179" s="90" t="s">
        <v>820</v>
      </c>
      <c r="F179" s="129">
        <v>45675</v>
      </c>
      <c r="BL179" s="91" t="s">
        <v>821</v>
      </c>
      <c r="BM179" s="26" t="s">
        <v>107</v>
      </c>
      <c r="BN179" s="28" t="s">
        <v>198</v>
      </c>
      <c r="BU179" s="23" t="s">
        <v>110</v>
      </c>
    </row>
    <row r="180" spans="1:73" ht="55.2" x14ac:dyDescent="0.3">
      <c r="A180" s="65" t="s">
        <v>776</v>
      </c>
      <c r="D180" s="89">
        <v>30720314</v>
      </c>
      <c r="E180" s="90" t="s">
        <v>800</v>
      </c>
      <c r="F180" s="129">
        <v>45675</v>
      </c>
      <c r="BL180" s="91" t="s">
        <v>822</v>
      </c>
      <c r="BM180" s="26" t="s">
        <v>407</v>
      </c>
      <c r="BN180" s="77" t="s">
        <v>823</v>
      </c>
      <c r="BU180" s="23" t="s">
        <v>97</v>
      </c>
    </row>
    <row r="181" spans="1:73" ht="55.2" x14ac:dyDescent="0.3">
      <c r="A181" s="65" t="s">
        <v>776</v>
      </c>
      <c r="D181" s="89">
        <v>30721462</v>
      </c>
      <c r="E181" s="90" t="s">
        <v>824</v>
      </c>
      <c r="F181" s="129">
        <v>45675</v>
      </c>
      <c r="BL181" s="91" t="s">
        <v>825</v>
      </c>
      <c r="BM181" s="19" t="s">
        <v>107</v>
      </c>
      <c r="BN181" s="92" t="s">
        <v>123</v>
      </c>
      <c r="BU181" s="23" t="s">
        <v>97</v>
      </c>
    </row>
    <row r="182" spans="1:73" ht="69" x14ac:dyDescent="0.3">
      <c r="A182" s="65" t="s">
        <v>776</v>
      </c>
      <c r="D182" s="89">
        <v>30723245</v>
      </c>
      <c r="E182" s="90" t="s">
        <v>777</v>
      </c>
      <c r="F182" s="129">
        <v>45675</v>
      </c>
      <c r="BL182" s="91" t="s">
        <v>826</v>
      </c>
      <c r="BM182" s="92" t="s">
        <v>145</v>
      </c>
      <c r="BN182" s="77" t="s">
        <v>827</v>
      </c>
      <c r="BU182" s="23" t="s">
        <v>97</v>
      </c>
    </row>
    <row r="183" spans="1:73" x14ac:dyDescent="0.3">
      <c r="A183" s="65" t="s">
        <v>776</v>
      </c>
      <c r="D183" s="89">
        <v>30726579</v>
      </c>
      <c r="E183" s="90" t="s">
        <v>815</v>
      </c>
      <c r="F183" s="129">
        <v>45675</v>
      </c>
      <c r="BL183" s="91"/>
      <c r="BM183" s="92"/>
      <c r="BN183" s="77"/>
      <c r="BU183" s="23"/>
    </row>
    <row r="184" spans="1:73" ht="55.2" x14ac:dyDescent="0.3">
      <c r="A184" s="65" t="s">
        <v>776</v>
      </c>
      <c r="D184" s="89">
        <v>30726667</v>
      </c>
      <c r="E184" s="90" t="s">
        <v>806</v>
      </c>
      <c r="F184" s="129">
        <v>45675</v>
      </c>
      <c r="BL184" s="91" t="s">
        <v>828</v>
      </c>
      <c r="BM184" s="92"/>
      <c r="BN184" s="77"/>
      <c r="BU184" s="23"/>
    </row>
    <row r="185" spans="1:73" ht="27.6" x14ac:dyDescent="0.3">
      <c r="A185" s="65" t="s">
        <v>776</v>
      </c>
      <c r="D185" s="89">
        <v>30726953</v>
      </c>
      <c r="E185" s="90" t="s">
        <v>829</v>
      </c>
      <c r="F185" s="129">
        <v>45675</v>
      </c>
      <c r="BL185" s="91" t="s">
        <v>830</v>
      </c>
      <c r="BM185" s="92" t="s">
        <v>145</v>
      </c>
      <c r="BN185" s="31" t="s">
        <v>475</v>
      </c>
      <c r="BU185" s="23" t="s">
        <v>97</v>
      </c>
    </row>
    <row r="186" spans="1:73" ht="27.6" x14ac:dyDescent="0.3">
      <c r="A186" s="65" t="s">
        <v>776</v>
      </c>
      <c r="D186" s="89">
        <v>30728855</v>
      </c>
      <c r="E186" s="90" t="s">
        <v>813</v>
      </c>
      <c r="F186" s="129">
        <v>45675</v>
      </c>
      <c r="BL186" s="91" t="s">
        <v>831</v>
      </c>
      <c r="BM186" s="19" t="s">
        <v>107</v>
      </c>
      <c r="BN186" s="92" t="s">
        <v>198</v>
      </c>
      <c r="BU186" s="23" t="s">
        <v>110</v>
      </c>
    </row>
    <row r="187" spans="1:73" ht="41.4" x14ac:dyDescent="0.3">
      <c r="A187" s="65" t="s">
        <v>776</v>
      </c>
      <c r="D187" s="89">
        <v>30729596</v>
      </c>
      <c r="E187" s="90" t="s">
        <v>832</v>
      </c>
      <c r="F187" s="129">
        <v>45675</v>
      </c>
      <c r="BL187" s="91" t="s">
        <v>833</v>
      </c>
      <c r="BM187" s="19" t="s">
        <v>107</v>
      </c>
      <c r="BN187" s="92" t="s">
        <v>198</v>
      </c>
      <c r="BU187" s="23" t="s">
        <v>110</v>
      </c>
    </row>
    <row r="188" spans="1:73" x14ac:dyDescent="0.3">
      <c r="A188" s="65" t="s">
        <v>776</v>
      </c>
      <c r="D188" s="89">
        <v>30729797</v>
      </c>
      <c r="E188" s="90" t="s">
        <v>794</v>
      </c>
      <c r="F188" s="129">
        <v>45675</v>
      </c>
      <c r="BL188" s="91"/>
      <c r="BM188" s="92"/>
      <c r="BN188" s="77"/>
      <c r="BU188" s="23"/>
    </row>
    <row r="189" spans="1:73" x14ac:dyDescent="0.3">
      <c r="A189" s="65" t="s">
        <v>776</v>
      </c>
      <c r="D189" s="89">
        <v>30728414</v>
      </c>
      <c r="E189" s="90" t="s">
        <v>834</v>
      </c>
      <c r="F189" s="129">
        <v>45675</v>
      </c>
      <c r="BL189" s="94" t="s">
        <v>835</v>
      </c>
      <c r="BM189" s="92"/>
      <c r="BN189" s="77"/>
      <c r="BU189" s="23"/>
    </row>
    <row r="190" spans="1:73" x14ac:dyDescent="0.3">
      <c r="A190" s="65" t="s">
        <v>776</v>
      </c>
      <c r="D190" s="89">
        <v>30729305</v>
      </c>
      <c r="E190" s="90" t="s">
        <v>787</v>
      </c>
      <c r="F190" s="129">
        <v>45675</v>
      </c>
      <c r="BL190" s="91"/>
      <c r="BM190" s="92"/>
      <c r="BN190" s="77"/>
      <c r="BU190" s="23"/>
    </row>
    <row r="191" spans="1:73" ht="55.2" x14ac:dyDescent="0.3">
      <c r="A191" s="65" t="s">
        <v>776</v>
      </c>
      <c r="D191" s="89">
        <v>30732194</v>
      </c>
      <c r="E191" s="90" t="s">
        <v>836</v>
      </c>
      <c r="F191" s="129">
        <v>45675</v>
      </c>
      <c r="BL191" s="91" t="s">
        <v>837</v>
      </c>
      <c r="BM191" s="92" t="s">
        <v>145</v>
      </c>
      <c r="BN191" s="77" t="s">
        <v>765</v>
      </c>
      <c r="BU191" s="23" t="s">
        <v>110</v>
      </c>
    </row>
    <row r="192" spans="1:73" ht="96.6" x14ac:dyDescent="0.3">
      <c r="A192" s="65" t="s">
        <v>776</v>
      </c>
      <c r="D192" s="89">
        <v>30732214</v>
      </c>
      <c r="E192" s="90" t="s">
        <v>781</v>
      </c>
      <c r="F192" s="129">
        <v>45675</v>
      </c>
      <c r="BL192" s="91" t="s">
        <v>838</v>
      </c>
      <c r="BM192" s="19" t="s">
        <v>107</v>
      </c>
      <c r="BN192" s="92" t="s">
        <v>123</v>
      </c>
      <c r="BU192" s="23" t="s">
        <v>97</v>
      </c>
    </row>
    <row r="193" spans="1:73" ht="41.4" x14ac:dyDescent="0.3">
      <c r="A193" s="65" t="s">
        <v>776</v>
      </c>
      <c r="D193" s="95">
        <v>30734448</v>
      </c>
      <c r="E193" s="96" t="s">
        <v>820</v>
      </c>
      <c r="F193" s="129">
        <v>45675</v>
      </c>
      <c r="BL193" s="91" t="s">
        <v>839</v>
      </c>
      <c r="BM193" s="19" t="s">
        <v>107</v>
      </c>
      <c r="BN193" s="92" t="s">
        <v>198</v>
      </c>
      <c r="BU193" s="23" t="s">
        <v>110</v>
      </c>
    </row>
    <row r="194" spans="1:73" x14ac:dyDescent="0.3">
      <c r="A194" s="65" t="s">
        <v>776</v>
      </c>
      <c r="D194" s="95">
        <v>30734679</v>
      </c>
      <c r="E194" s="96" t="s">
        <v>787</v>
      </c>
      <c r="F194" s="129">
        <v>45675</v>
      </c>
      <c r="BL194" s="91"/>
      <c r="BM194" s="97"/>
      <c r="BN194" s="91"/>
      <c r="BU194" s="23"/>
    </row>
    <row r="195" spans="1:73" ht="41.4" x14ac:dyDescent="0.3">
      <c r="A195" s="65" t="s">
        <v>776</v>
      </c>
      <c r="D195" s="95">
        <v>30735490</v>
      </c>
      <c r="E195" s="96" t="s">
        <v>836</v>
      </c>
      <c r="F195" s="129">
        <v>45675</v>
      </c>
      <c r="BL195" s="91" t="s">
        <v>840</v>
      </c>
      <c r="BM195" s="97" t="s">
        <v>92</v>
      </c>
      <c r="BN195" s="91" t="s">
        <v>419</v>
      </c>
      <c r="BU195" s="23" t="s">
        <v>97</v>
      </c>
    </row>
    <row r="196" spans="1:73" ht="27.6" x14ac:dyDescent="0.3">
      <c r="A196" s="65" t="s">
        <v>776</v>
      </c>
      <c r="D196" s="95">
        <v>30736471</v>
      </c>
      <c r="E196" s="96" t="s">
        <v>836</v>
      </c>
      <c r="F196" s="129">
        <v>45675</v>
      </c>
      <c r="BL196" s="91" t="s">
        <v>841</v>
      </c>
      <c r="BM196" s="19" t="s">
        <v>107</v>
      </c>
      <c r="BN196" s="97" t="s">
        <v>123</v>
      </c>
      <c r="BU196" s="23" t="s">
        <v>97</v>
      </c>
    </row>
    <row r="197" spans="1:73" ht="55.2" x14ac:dyDescent="0.3">
      <c r="A197" s="65" t="s">
        <v>776</v>
      </c>
      <c r="D197" s="95">
        <v>30740213</v>
      </c>
      <c r="E197" s="96" t="s">
        <v>842</v>
      </c>
      <c r="F197" s="129">
        <v>45675</v>
      </c>
      <c r="BL197" s="91" t="s">
        <v>843</v>
      </c>
      <c r="BM197" s="19" t="s">
        <v>107</v>
      </c>
      <c r="BN197" s="97" t="s">
        <v>263</v>
      </c>
      <c r="BU197" s="13" t="s">
        <v>171</v>
      </c>
    </row>
    <row r="198" spans="1:73" ht="41.4" x14ac:dyDescent="0.3">
      <c r="A198" s="65" t="s">
        <v>776</v>
      </c>
      <c r="D198" s="95">
        <v>30743518</v>
      </c>
      <c r="E198" s="96" t="s">
        <v>844</v>
      </c>
      <c r="F198" s="129">
        <v>45675</v>
      </c>
      <c r="BL198" s="91" t="s">
        <v>845</v>
      </c>
      <c r="BM198" s="97" t="s">
        <v>145</v>
      </c>
      <c r="BN198" s="91" t="s">
        <v>846</v>
      </c>
      <c r="BU198" s="23" t="s">
        <v>97</v>
      </c>
    </row>
    <row r="199" spans="1:73" x14ac:dyDescent="0.3">
      <c r="A199" s="65" t="s">
        <v>776</v>
      </c>
      <c r="D199" s="95">
        <v>30743934</v>
      </c>
      <c r="E199" s="96" t="s">
        <v>847</v>
      </c>
      <c r="F199" s="129">
        <v>45675</v>
      </c>
      <c r="BL199" s="91" t="s">
        <v>848</v>
      </c>
      <c r="BM199" s="97"/>
      <c r="BN199" s="91"/>
      <c r="BU199" s="23"/>
    </row>
    <row r="200" spans="1:73" ht="55.2" x14ac:dyDescent="0.3">
      <c r="A200" s="65" t="s">
        <v>776</v>
      </c>
      <c r="D200" s="95">
        <v>30744265</v>
      </c>
      <c r="E200" s="96" t="s">
        <v>849</v>
      </c>
      <c r="F200" s="129">
        <v>45675</v>
      </c>
      <c r="BL200" s="91" t="s">
        <v>850</v>
      </c>
      <c r="BM200" s="97"/>
      <c r="BN200" s="91"/>
      <c r="BU200" s="23"/>
    </row>
    <row r="201" spans="1:73" ht="69" x14ac:dyDescent="0.3">
      <c r="A201" s="65" t="s">
        <v>776</v>
      </c>
      <c r="D201" s="95">
        <v>30744508</v>
      </c>
      <c r="E201" s="96" t="s">
        <v>832</v>
      </c>
      <c r="F201" s="129">
        <v>45675</v>
      </c>
      <c r="BL201" s="91" t="s">
        <v>851</v>
      </c>
      <c r="BM201" s="19" t="s">
        <v>107</v>
      </c>
      <c r="BN201" s="97" t="s">
        <v>198</v>
      </c>
      <c r="BU201" s="23" t="s">
        <v>110</v>
      </c>
    </row>
    <row r="202" spans="1:73" x14ac:dyDescent="0.3">
      <c r="A202" s="65" t="s">
        <v>776</v>
      </c>
      <c r="D202" s="95">
        <v>30739142</v>
      </c>
      <c r="E202" s="96" t="s">
        <v>806</v>
      </c>
      <c r="F202" s="129">
        <v>45675</v>
      </c>
      <c r="BL202" s="91" t="s">
        <v>852</v>
      </c>
      <c r="BM202" s="97"/>
      <c r="BN202" s="91"/>
      <c r="BU202" s="23"/>
    </row>
    <row r="203" spans="1:73" ht="27.6" x14ac:dyDescent="0.3">
      <c r="A203" s="65" t="s">
        <v>776</v>
      </c>
      <c r="D203" s="95">
        <v>30747695</v>
      </c>
      <c r="E203" s="96" t="s">
        <v>800</v>
      </c>
      <c r="F203" s="129">
        <v>45675</v>
      </c>
      <c r="BL203" s="91" t="s">
        <v>853</v>
      </c>
      <c r="BM203" s="97" t="s">
        <v>145</v>
      </c>
      <c r="BN203" s="91" t="s">
        <v>571</v>
      </c>
      <c r="BU203" s="23" t="s">
        <v>97</v>
      </c>
    </row>
    <row r="204" spans="1:73" x14ac:dyDescent="0.3">
      <c r="A204" s="65" t="s">
        <v>776</v>
      </c>
      <c r="D204" s="95">
        <v>30745643</v>
      </c>
      <c r="E204" s="96" t="s">
        <v>783</v>
      </c>
      <c r="F204" s="129">
        <v>45675</v>
      </c>
      <c r="BL204" s="91" t="s">
        <v>854</v>
      </c>
      <c r="BM204" s="97"/>
      <c r="BN204" s="91"/>
      <c r="BU204" s="23"/>
    </row>
    <row r="205" spans="1:73" x14ac:dyDescent="0.3">
      <c r="A205" s="65" t="s">
        <v>776</v>
      </c>
      <c r="D205" s="98">
        <v>30746449</v>
      </c>
      <c r="E205" s="99" t="s">
        <v>855</v>
      </c>
      <c r="F205" s="129">
        <v>45675</v>
      </c>
      <c r="BL205" s="100" t="s">
        <v>856</v>
      </c>
      <c r="BM205" s="101"/>
      <c r="BN205" s="100"/>
      <c r="BU205" s="23"/>
    </row>
    <row r="206" spans="1:73" ht="27.6" x14ac:dyDescent="0.3">
      <c r="A206" s="65" t="s">
        <v>776</v>
      </c>
      <c r="D206" s="95">
        <v>30749919</v>
      </c>
      <c r="E206" s="96" t="s">
        <v>844</v>
      </c>
      <c r="F206" s="129">
        <v>45675</v>
      </c>
      <c r="BL206" s="91" t="s">
        <v>857</v>
      </c>
      <c r="BM206" s="26" t="s">
        <v>107</v>
      </c>
      <c r="BN206" s="91" t="s">
        <v>858</v>
      </c>
      <c r="BU206" s="13" t="s">
        <v>171</v>
      </c>
    </row>
    <row r="207" spans="1:73" ht="55.2" x14ac:dyDescent="0.3">
      <c r="A207" s="65" t="s">
        <v>776</v>
      </c>
      <c r="D207" s="102">
        <v>30750024</v>
      </c>
      <c r="E207" s="103" t="s">
        <v>806</v>
      </c>
      <c r="F207" s="129">
        <v>45675</v>
      </c>
      <c r="BL207" s="104" t="s">
        <v>859</v>
      </c>
      <c r="BM207" s="105"/>
      <c r="BN207" s="104"/>
      <c r="BU207" s="23"/>
    </row>
    <row r="208" spans="1:73" ht="69" x14ac:dyDescent="0.3">
      <c r="A208" s="65" t="s">
        <v>776</v>
      </c>
      <c r="D208" s="106">
        <v>30750551</v>
      </c>
      <c r="E208" s="96" t="s">
        <v>860</v>
      </c>
      <c r="F208" s="129">
        <v>45675</v>
      </c>
      <c r="BL208" s="91" t="s">
        <v>861</v>
      </c>
      <c r="BM208" s="20" t="s">
        <v>92</v>
      </c>
      <c r="BN208" s="28" t="s">
        <v>93</v>
      </c>
      <c r="BU208" s="23" t="s">
        <v>97</v>
      </c>
    </row>
    <row r="209" spans="1:73" ht="41.4" x14ac:dyDescent="0.3">
      <c r="A209" s="65" t="s">
        <v>776</v>
      </c>
      <c r="D209" s="95">
        <v>30751253</v>
      </c>
      <c r="E209" s="96" t="s">
        <v>806</v>
      </c>
      <c r="F209" s="129">
        <v>45675</v>
      </c>
      <c r="BL209" s="91" t="s">
        <v>862</v>
      </c>
      <c r="BM209" s="97"/>
      <c r="BN209" s="91"/>
      <c r="BU209" s="23"/>
    </row>
    <row r="210" spans="1:73" ht="41.4" x14ac:dyDescent="0.3">
      <c r="A210" s="65" t="s">
        <v>776</v>
      </c>
      <c r="D210" s="102">
        <v>30752148</v>
      </c>
      <c r="E210" s="96" t="s">
        <v>863</v>
      </c>
      <c r="F210" s="129">
        <v>45675</v>
      </c>
      <c r="BL210" s="91" t="s">
        <v>864</v>
      </c>
      <c r="BM210" s="19" t="s">
        <v>177</v>
      </c>
      <c r="BN210" s="28" t="s">
        <v>687</v>
      </c>
      <c r="BU210" s="13" t="s">
        <v>171</v>
      </c>
    </row>
    <row r="211" spans="1:73" ht="27.6" x14ac:dyDescent="0.3">
      <c r="A211" s="65" t="s">
        <v>776</v>
      </c>
      <c r="D211" s="98">
        <v>30752174</v>
      </c>
      <c r="E211" s="96" t="s">
        <v>860</v>
      </c>
      <c r="F211" s="129">
        <v>45675</v>
      </c>
      <c r="BL211" s="91" t="s">
        <v>865</v>
      </c>
      <c r="BM211" s="97"/>
      <c r="BN211" s="91"/>
      <c r="BU211" s="23"/>
    </row>
    <row r="212" spans="1:73" ht="41.4" x14ac:dyDescent="0.3">
      <c r="A212" s="65" t="s">
        <v>776</v>
      </c>
      <c r="D212" s="95">
        <v>30752366</v>
      </c>
      <c r="E212" s="96" t="s">
        <v>855</v>
      </c>
      <c r="F212" s="129">
        <v>45675</v>
      </c>
      <c r="BL212" s="91" t="s">
        <v>866</v>
      </c>
      <c r="BM212" s="19" t="s">
        <v>177</v>
      </c>
      <c r="BN212" s="28" t="s">
        <v>687</v>
      </c>
      <c r="BU212" s="13" t="s">
        <v>171</v>
      </c>
    </row>
    <row r="213" spans="1:73" ht="27.6" x14ac:dyDescent="0.3">
      <c r="A213" s="65" t="s">
        <v>776</v>
      </c>
      <c r="D213" s="102">
        <v>30753529</v>
      </c>
      <c r="E213" s="103" t="s">
        <v>790</v>
      </c>
      <c r="F213" s="129">
        <v>45675</v>
      </c>
      <c r="BL213" s="104" t="s">
        <v>867</v>
      </c>
      <c r="BM213" s="105" t="s">
        <v>145</v>
      </c>
      <c r="BN213" s="104" t="s">
        <v>318</v>
      </c>
      <c r="BU213" s="23" t="s">
        <v>110</v>
      </c>
    </row>
    <row r="214" spans="1:73" ht="27.6" x14ac:dyDescent="0.3">
      <c r="A214" s="65" t="s">
        <v>776</v>
      </c>
      <c r="D214" s="98">
        <v>30753693</v>
      </c>
      <c r="E214" s="99" t="s">
        <v>832</v>
      </c>
      <c r="F214" s="129">
        <v>45675</v>
      </c>
      <c r="BL214" s="107" t="s">
        <v>868</v>
      </c>
      <c r="BM214" s="108"/>
      <c r="BN214" s="109"/>
      <c r="BU214" s="23"/>
    </row>
    <row r="215" spans="1:73" ht="41.4" x14ac:dyDescent="0.3">
      <c r="A215" s="65" t="s">
        <v>776</v>
      </c>
      <c r="D215" s="95">
        <v>30754038</v>
      </c>
      <c r="E215" s="96" t="s">
        <v>847</v>
      </c>
      <c r="F215" s="129">
        <v>45675</v>
      </c>
      <c r="BL215" s="91" t="s">
        <v>869</v>
      </c>
      <c r="BM215" s="97"/>
      <c r="BN215" s="91"/>
      <c r="BU215" s="23"/>
    </row>
    <row r="216" spans="1:73" ht="27.6" x14ac:dyDescent="0.3">
      <c r="A216" s="65" t="s">
        <v>776</v>
      </c>
      <c r="D216" s="102">
        <v>30755419</v>
      </c>
      <c r="E216" s="103" t="s">
        <v>870</v>
      </c>
      <c r="F216" s="129">
        <v>45675</v>
      </c>
      <c r="BL216" s="91"/>
      <c r="BM216" s="110"/>
      <c r="BN216" s="104"/>
      <c r="BU216" s="23"/>
    </row>
    <row r="217" spans="1:73" x14ac:dyDescent="0.3">
      <c r="A217" s="65" t="s">
        <v>776</v>
      </c>
      <c r="D217" s="95">
        <v>30757175</v>
      </c>
      <c r="E217" s="96" t="s">
        <v>787</v>
      </c>
      <c r="F217" s="129">
        <v>45675</v>
      </c>
      <c r="BL217" s="91"/>
      <c r="BM217" s="111"/>
      <c r="BN217" s="91"/>
      <c r="BU217" s="23"/>
    </row>
    <row r="218" spans="1:73" ht="28.8" x14ac:dyDescent="0.3">
      <c r="A218" s="65" t="s">
        <v>776</v>
      </c>
      <c r="D218" s="95">
        <v>30757918</v>
      </c>
      <c r="E218" s="96" t="s">
        <v>871</v>
      </c>
      <c r="F218" s="129">
        <v>45675</v>
      </c>
      <c r="BL218" s="91" t="s">
        <v>872</v>
      </c>
      <c r="BM218" s="19" t="s">
        <v>177</v>
      </c>
      <c r="BN218" s="17" t="s">
        <v>205</v>
      </c>
      <c r="BU218" s="13" t="s">
        <v>171</v>
      </c>
    </row>
    <row r="219" spans="1:73" ht="27.6" x14ac:dyDescent="0.3">
      <c r="A219" s="65" t="s">
        <v>776</v>
      </c>
      <c r="D219" s="95">
        <v>30758883</v>
      </c>
      <c r="E219" s="96" t="s">
        <v>800</v>
      </c>
      <c r="F219" s="129">
        <v>45675</v>
      </c>
      <c r="BL219" s="91" t="s">
        <v>873</v>
      </c>
      <c r="BM219" s="19" t="s">
        <v>107</v>
      </c>
      <c r="BN219" s="97" t="s">
        <v>502</v>
      </c>
      <c r="BU219" s="23" t="s">
        <v>110</v>
      </c>
    </row>
    <row r="220" spans="1:73" ht="55.2" x14ac:dyDescent="0.3">
      <c r="A220" s="65" t="s">
        <v>776</v>
      </c>
      <c r="D220" s="95">
        <v>30758910</v>
      </c>
      <c r="E220" s="96" t="s">
        <v>874</v>
      </c>
      <c r="F220" s="129">
        <v>45675</v>
      </c>
      <c r="BL220" s="91" t="s">
        <v>875</v>
      </c>
      <c r="BM220" s="97" t="s">
        <v>145</v>
      </c>
      <c r="BN220" s="91" t="s">
        <v>765</v>
      </c>
      <c r="BU220" s="23" t="s">
        <v>110</v>
      </c>
    </row>
    <row r="221" spans="1:73" ht="27.6" x14ac:dyDescent="0.3">
      <c r="A221" s="65" t="s">
        <v>776</v>
      </c>
      <c r="D221" s="98">
        <v>30760622</v>
      </c>
      <c r="E221" s="99" t="s">
        <v>794</v>
      </c>
      <c r="F221" s="129">
        <v>45675</v>
      </c>
      <c r="BL221" s="91"/>
      <c r="BM221" s="112"/>
      <c r="BN221" s="100"/>
      <c r="BU221" s="23"/>
    </row>
    <row r="222" spans="1:73" ht="27.6" x14ac:dyDescent="0.3">
      <c r="A222" s="65" t="s">
        <v>776</v>
      </c>
      <c r="D222" s="95">
        <v>30760684</v>
      </c>
      <c r="E222" s="96" t="s">
        <v>844</v>
      </c>
      <c r="F222" s="129">
        <v>45675</v>
      </c>
      <c r="BL222" s="91" t="s">
        <v>876</v>
      </c>
      <c r="BM222" s="19" t="s">
        <v>107</v>
      </c>
      <c r="BN222" s="97" t="s">
        <v>438</v>
      </c>
      <c r="BU222" s="13" t="s">
        <v>171</v>
      </c>
    </row>
    <row r="223" spans="1:73" ht="69" x14ac:dyDescent="0.3">
      <c r="A223" s="65" t="s">
        <v>776</v>
      </c>
      <c r="D223" s="106">
        <v>30761372</v>
      </c>
      <c r="E223" s="96" t="s">
        <v>795</v>
      </c>
      <c r="F223" s="129">
        <v>45675</v>
      </c>
      <c r="BL223" s="91" t="s">
        <v>877</v>
      </c>
      <c r="BM223" s="97" t="s">
        <v>145</v>
      </c>
      <c r="BN223" s="91" t="s">
        <v>325</v>
      </c>
      <c r="BU223" s="23" t="s">
        <v>97</v>
      </c>
    </row>
    <row r="224" spans="1:73" ht="28.8" x14ac:dyDescent="0.3">
      <c r="A224" s="65" t="s">
        <v>776</v>
      </c>
      <c r="D224" s="98">
        <v>30762336</v>
      </c>
      <c r="E224" s="99" t="s">
        <v>792</v>
      </c>
      <c r="F224" s="129">
        <v>45675</v>
      </c>
      <c r="BL224" s="100" t="s">
        <v>878</v>
      </c>
      <c r="BM224" s="19" t="s">
        <v>177</v>
      </c>
      <c r="BN224" s="17" t="s">
        <v>272</v>
      </c>
      <c r="BU224" s="13" t="s">
        <v>171</v>
      </c>
    </row>
    <row r="225" spans="1:73" ht="27.6" x14ac:dyDescent="0.3">
      <c r="A225" s="65" t="s">
        <v>776</v>
      </c>
      <c r="D225" s="95">
        <v>30760261</v>
      </c>
      <c r="E225" s="96" t="s">
        <v>844</v>
      </c>
      <c r="F225" s="129">
        <v>45675</v>
      </c>
      <c r="BL225" s="91" t="s">
        <v>879</v>
      </c>
      <c r="BM225" s="92" t="s">
        <v>145</v>
      </c>
      <c r="BN225" s="77" t="s">
        <v>747</v>
      </c>
      <c r="BU225" s="23" t="s">
        <v>97</v>
      </c>
    </row>
    <row r="226" spans="1:73" ht="27.6" x14ac:dyDescent="0.3">
      <c r="A226" s="65" t="s">
        <v>776</v>
      </c>
      <c r="D226" s="95">
        <v>30764521</v>
      </c>
      <c r="E226" s="96" t="s">
        <v>832</v>
      </c>
      <c r="F226" s="129">
        <v>45675</v>
      </c>
      <c r="BL226" s="104" t="s">
        <v>880</v>
      </c>
      <c r="BM226" s="19" t="s">
        <v>107</v>
      </c>
      <c r="BN226" s="113" t="s">
        <v>198</v>
      </c>
      <c r="BU226" s="23" t="s">
        <v>110</v>
      </c>
    </row>
    <row r="227" spans="1:73" x14ac:dyDescent="0.3">
      <c r="A227" s="65" t="s">
        <v>776</v>
      </c>
      <c r="D227" s="106">
        <v>30765757</v>
      </c>
      <c r="E227" s="96" t="s">
        <v>881</v>
      </c>
      <c r="F227" s="129">
        <v>45675</v>
      </c>
      <c r="BL227" s="91"/>
      <c r="BM227" s="92"/>
      <c r="BN227" s="77"/>
      <c r="BU227" s="23"/>
    </row>
    <row r="228" spans="1:73" ht="41.4" x14ac:dyDescent="0.3">
      <c r="A228" s="49" t="s">
        <v>882</v>
      </c>
      <c r="B228" s="50">
        <v>45812</v>
      </c>
      <c r="C228" s="50" t="s">
        <v>74</v>
      </c>
      <c r="D228" s="51">
        <v>30704730</v>
      </c>
      <c r="E228" s="51" t="s">
        <v>883</v>
      </c>
      <c r="F228" s="129">
        <v>45661</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45663</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45667</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45667</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45670</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45676</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45676</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45676</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45680</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45682</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45683</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45684</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45684</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45659</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45659</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45659</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45659</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45661</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45661</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45662</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45662</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45663</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45666</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45666</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45667</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45667</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45668</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45668</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45670</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45675</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45677</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45680</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45681</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45681</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45681</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45681</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45683</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45684</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45684</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45659</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45659</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45661</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45667</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45673</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45675</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45680</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45682</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45659</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45660</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45660</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45660</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45663</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45666</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45667</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45667</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45667</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45668</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45668</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45670</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45674</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45674</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45674</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45675</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45674</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45677</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45677</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45680</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45680</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45682</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45682</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45684</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45660</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45661</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45662</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45666</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45667</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45668</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45668</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45670</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45670</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45673</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45674</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45663</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45663</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45661</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45666</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45663</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45668</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45674</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45675</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45676</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45676</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45676</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45673</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45673</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45675</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45677</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45680</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45681</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45682</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45683</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45683</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45682</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45684</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45684</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45684</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45682</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45682</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