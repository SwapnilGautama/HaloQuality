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7" documentId="8_{C93C01AF-303C-4782-8245-3E59631FB1B4}" xr6:coauthVersionLast="47" xr6:coauthVersionMax="47" xr10:uidLastSave="{32829B90-5179-4703-835C-DED5EDA8F854}"/>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<sst xmlns="http://schemas.openxmlformats.org/spreadsheetml/2006/main" count="4379" uniqueCount="1336">
  <si>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</si>
  <si>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</si>
  <si>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</si>
  <si>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</si>
  <si>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</si>
  <si>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</si>
  <si>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</si>
  <si>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</si>
  <si>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</si>
  <si>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</si>
  <si>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</si>
  <si>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</si>
  <si>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</si>
  <si>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</si>
  <si>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</si>
  <si>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</si>
  <si>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</si>
  <si>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</si>
  <si>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</si>
  <si>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</si>
  <si>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</si>
  <si>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</si>
  <si>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</si>
  <si>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</si>
  <si>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</si>
  <si>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</si>
  <si>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</si>
  <si>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</si>
  <si>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</si>
  <si>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</si>
  <si>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</si>
  <si>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</si>
  <si>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</si>
  <si>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</si>
  <si>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</si>
  <si>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</si>
  <si>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</si>
  <si>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</si>
  <si>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</si>
  <si>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</si>
  <si>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</si>
  <si>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</si>
  <si>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</si>
  <si>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</si>
  <si>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</si>
  <si>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</si>
  <si>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</si>
  <si>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</si>
  <si>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</si>
  <si>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</si>
  <si>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</si>
  <si>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</si>
  <si>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</si>
  <si>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</si>
  <si>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</si>
  <si>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</si>
  <si>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</si>
  <si>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</si>
  <si>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</si>
  <si>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</si>
  <si>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</si>
  <si>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</si>
  <si>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</si>
  <si>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</si>
  <si>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</si>
  <si>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</si>
  <si>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</si>
  <si>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</si>
  <si>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</si>
  <si>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</si>
  <si>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</si>
  <si>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</si>
  <si>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</si>
  <si>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</si>
  <si>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</si>
  <si>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</si>
  <si>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</si>
  <si>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</si>
  <si>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</si>
  <si>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</si>
  <si>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</si>
  <si>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</si>
  <si>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</si>
  <si>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</si>
  <si>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</si>
  <si>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</si>
  <si>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</si>
  <si>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</si>
  <si>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</si>
  <si>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</si>
  <si>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</si>
  <si>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</si>
  <si>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</si>
  <si>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</si>
  <si>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</si>
  <si>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</si>
  <si>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</si>
  <si>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</si>
  <si>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</si>
  <si>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</si>
  <si>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</si>
  <si>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</si>
  <si>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</si>
  <si>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</si>
  <si>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</si>
  <si>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</si>
  <si>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</si>
  <si>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</si>
  <si>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</si>
  <si>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</si>
  <si>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</si>
  <si>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</si>
  <si>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</si>
  <si>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</si>
  <si>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</si>
  <si>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</si>
  <si>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</si>
  <si>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</si>
  <si>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</si>
  <si>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</si>
  <si>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</si>
  <si>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</si>
  <si>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</si>
  <si>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</si>
  <si>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</si>
  <si>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</si>
  <si>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</si>
  <si>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</si>
  <si>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</si>
  <si>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</si>
  <si>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</si>
  <si>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</si>
  <si>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</si>
  <si>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</si>
  <si>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</si>
  <si>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</si>
  <si>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</si>
  <si>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</si>
  <si>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</si>
  <si>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</si>
  <si>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</si>
  <si>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</si>
  <si>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</si>
  <si>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</si>
  <si>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</si>
  <si>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</si>
  <si>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</si>
  <si>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</si>
  <si>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</si>
  <si>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</si>
  <si>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</si>
  <si>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</si>
  <si>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</si>
  <si>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</si>
  <si>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</si>
  <si>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</si>
  <si>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</si>
  <si>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</si>
  <si>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</si>
  <si>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</si>
  <si>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</si>
  <si>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</si>
  <si>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</si>
  <si>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</si>
  <si>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</si>
  <si>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</si>
  <si>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</si>
  <si>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</si>
  <si>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</si>
  <si>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</si>
  <si>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</si>
  <si>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</si>
  <si>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</si>
  <si>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</si>
  <si>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</si>
  <si>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</si>
  <si>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</si>
  <si>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</si>
  <si>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</si>
  <si>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</si>
  <si>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</si>
  <si>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</si>
  <si>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</si>
  <si>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</si>
  <si>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</si>
  <si>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</si>
  <si>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</si>
  <si>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</si>
  <si>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</si>
  <si>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</si>
  <si>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</si>
  <si>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</si>
  <si>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</si>
  <si>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</si>
  <si>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</si>
  <si>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</si>
  <si>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</si>
  <si>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</si>
  <si>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</si>
  <si>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</si>
  <si>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</si>
  <si>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</si>
  <si>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</si>
  <si>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</si>
  <si>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family val="2"/>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family val="2"/>
      </rPr>
      <t>her retirement on the 05/07/025 because the paperwork that she sent back is more than 6 months old so she was expecting the new recalculation.</t>
    </r>
    <r>
      <rPr>
        <sz val="11"/>
        <color rgb="FF000000"/>
        <rFont val="Aptos Narrow"/>
        <family val="2"/>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</si>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</sst>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6" x14ac:knownFonts="1">
    <font>
      <sz val="11"/>
      <color theme="1"/>
      <name val="Aptos Narrow"/>
      <family val="2"/>
      <scheme val="minor"/>
    </font>
    <font>
      <b/>
      <sz val="10"/>
      <color theme="1"/>
      <name val="Aptos Display"/>
      <family val="2"/>
      <scheme val="major"/>
    </font>
    <font>
      <b/>
      <sz val="10"/>
      <color theme="1"/>
      <name val="Calibri"/>
      <family val="2"/>
    </font>
    <font>
      <b/>
      <sz val="11"/>
      <color rgb="FF000000"/>
      <name val="Calibri"/>
      <family val="2"/>
    </font>
    <font>
      <sz val="10"/>
      <color theme="1"/>
      <name val="Aptos Display"/>
      <family val="2"/>
      <scheme val="major"/>
    </font>
    <font>
      <sz val="11"/>
      <color rgb="FF000000"/>
      <name val="Aptos Narrow"/>
      <family val="2"/>
    </font>
    <font>
      <sz val="11"/>
      <color rgb="FF000000"/>
      <name val="Aptos Narrow"/>
      <family val="2"/>
    </font>
    <font>
      <sz val="10"/>
      <color theme="1"/>
      <name val="Calibri"/>
      <family val="2"/>
    </font>
    <font>
      <sz val="11"/>
      <color rgb="FF000000"/>
      <name val="Calibri"/>
      <family val="2"/>
    </font>
    <font>
      <sz val="11"/>
      <color rgb="FF242424"/>
      <name val="Aptos Narrow"/>
      <family val="2"/>
    </font>
    <font>
      <sz val="10"/>
      <color theme="1"/>
      <name val="Aptos Display"/>
      <family val="2"/>
      <scheme val="major"/>
    </font>
    <font>
      <sz val="10"/>
      <color theme="1"/>
      <name val="Calibri"/>
      <family val="2"/>
    </font>
    <font>
      <b/>
      <sz val="11"/>
      <color rgb="FF000000"/>
      <name val="Aptos Narrow"/>
      <family val="2"/>
    </font>
    <font>
      <sz val="10"/>
      <color rgb="FF000000"/>
      <name val="Aptos Display"/>
      <family val="2"/>
    </font>
    <font>
      <sz val="11"/>
      <color rgb="FF000000"/>
      <name val="Calibri"/>
      <family val="2"/>
    </font>
    <font>
      <sz val="11"/>
      <color rgb="FF000000"/>
      <name val="Aptos"/>
      <family val="2"/>
    </font>
    <font>
      <sz val="10"/>
      <color rgb="FF000000"/>
      <name val="Aptos Display"/>
      <family val="2"/>
    </font>
    <font>
      <sz val="11"/>
      <color rgb="FF000000"/>
      <name val="Aptos Narrow"/>
      <family val="2"/>
      <scheme val="minor"/>
    </font>
    <font>
      <sz val="10"/>
      <color rgb="FF000000"/>
      <name val="Calibri"/>
      <family val="2"/>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amily val="2"/>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xf numFmtId="14" fontId="0" fillId="0" borderId="0" xfId="0" applyNumberFormat="1"/>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3" sqref="F3"/>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8" bestFit="1" customWidth="1"/>
    <col min="62" max="62" width="10.6640625" bestFit="1" customWidth="1"/>
    <col min="63" max="63" width="20.5546875" customWidth="1"/>
    <col min="64" max="64" width="125.21875" style="68" customWidth="1"/>
    <col min="65" max="65" width="22.6640625" style="88" customWidth="1"/>
    <col min="66" max="66" width="39.6640625" style="68" customWidth="1"/>
    <col min="67" max="67" width="9.21875" bestFit="1" customWidth="1"/>
    <col min="68" max="68" width="18.77734375" style="68" customWidth="1"/>
    <col min="69" max="69" width="25.88671875" style="68" customWidth="1"/>
    <col min="70" max="70" width="12.33203125" bestFit="1" customWidth="1"/>
    <col min="71" max="71" width="10.77734375" bestFit="1" customWidth="1"/>
    <col min="72" max="72" width="15.21875" bestFit="1" customWidth="1"/>
    <col min="73" max="73" width="8.77734375" style="128"/>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29">
        <v>45753</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29">
        <v>45753</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29">
        <v>45753</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29">
        <v>45753</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29">
        <v>45753</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29">
        <v>45753</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29">
        <v>45753</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29">
        <v>45753</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29">
        <v>45753</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29">
        <v>45753</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29">
        <v>45753</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29">
        <v>45753</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29">
        <v>45753</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29">
        <v>45753</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29">
        <v>45753</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29">
        <v>45753</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29">
        <v>45753</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29">
        <v>45753</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29">
        <v>45760</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29">
        <v>45753</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29">
        <v>45753</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29">
        <v>45753</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29">
        <v>45753</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29">
        <v>45753</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29">
        <v>45753</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29">
        <v>45753</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29">
        <v>45753</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29">
        <v>45753</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29">
        <v>45753</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29">
        <v>45753</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29">
        <v>45753</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129">
        <v>45763</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129">
        <v>45763</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129">
        <v>45763</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129">
        <v>45763</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129">
        <v>45763</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129">
        <v>45764</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129">
        <v>45764</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129">
        <v>45764</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129">
        <v>45764</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129">
        <v>45764</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129">
        <v>45764</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129">
        <v>45765</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129">
        <v>45765</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129">
        <v>45765</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129">
        <v>45765</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129">
        <v>45766</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129">
        <v>45766</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129">
        <v>45767</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129">
        <v>45767</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129">
        <v>45767</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129">
        <v>45770</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129">
        <v>45770</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129">
        <v>45770</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129">
        <v>45770</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129">
        <v>45770</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129">
        <v>45771</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129">
        <v>45771</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129">
        <v>45771</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129">
        <v>45771</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129">
        <v>45771</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129">
        <v>45772</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129">
        <v>45772</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129">
        <v>45772</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129">
        <v>45772</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129">
        <v>45774</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129">
        <v>45777</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129">
        <v>45777</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129">
        <v>45777</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129">
        <v>45777</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129">
        <v>45776</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129">
        <v>45751</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129">
        <v>45752</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129">
        <v>45751</v>
      </c>
      <c r="BE75" s="51"/>
      <c r="BF75" s="51"/>
      <c r="BG75" s="51"/>
      <c r="BH75" s="51"/>
      <c r="BI75" s="52"/>
      <c r="BK75" s="51"/>
      <c r="BL75" s="52"/>
      <c r="BM75" s="53"/>
      <c r="BN75" s="56"/>
      <c r="BO75" s="54"/>
      <c r="BP75" s="52"/>
      <c r="BQ75" s="52"/>
      <c r="BU75" s="23"/>
    </row>
    <row r="76" spans="1:73" ht="41.4" x14ac:dyDescent="0.3">
      <c r="A76" s="49" t="s">
        <v>587</v>
      </c>
      <c r="B76" s="50">
        <v>45814</v>
      </c>
      <c r="C76" s="15" t="s">
        <v>74</v>
      </c>
      <c r="D76" s="51">
        <v>38290965</v>
      </c>
      <c r="E76" s="52" t="s">
        <v>607</v>
      </c>
      <c r="F76" s="129">
        <v>45753</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7" t="s">
        <v>587</v>
      </c>
      <c r="B77" s="58">
        <v>45831</v>
      </c>
      <c r="C77" s="15" t="s">
        <v>74</v>
      </c>
      <c r="D77" s="59">
        <v>38344039</v>
      </c>
      <c r="E77" s="60" t="s">
        <v>607</v>
      </c>
      <c r="F77" s="129">
        <v>45764</v>
      </c>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59" t="s">
        <v>608</v>
      </c>
      <c r="BF77" s="59" t="s">
        <v>614</v>
      </c>
      <c r="BG77" s="59"/>
      <c r="BH77" s="59" t="s">
        <v>610</v>
      </c>
      <c r="BI77" s="60" t="s">
        <v>615</v>
      </c>
      <c r="BJ77" s="61"/>
      <c r="BK77" s="59" t="s">
        <v>608</v>
      </c>
      <c r="BL77" s="60" t="s">
        <v>616</v>
      </c>
      <c r="BM77" s="62" t="s">
        <v>145</v>
      </c>
      <c r="BN77" s="31" t="s">
        <v>475</v>
      </c>
      <c r="BO77" s="63" t="s">
        <v>94</v>
      </c>
      <c r="BP77" s="60" t="s">
        <v>617</v>
      </c>
      <c r="BQ77" s="64"/>
      <c r="BU77" s="23" t="s">
        <v>97</v>
      </c>
    </row>
    <row r="78" spans="1:73" x14ac:dyDescent="0.3">
      <c r="A78" s="49" t="s">
        <v>587</v>
      </c>
      <c r="B78" s="50"/>
      <c r="C78" s="15" t="s">
        <v>74</v>
      </c>
      <c r="D78" s="51">
        <v>38267091</v>
      </c>
      <c r="E78" s="52" t="s">
        <v>618</v>
      </c>
      <c r="F78" s="129">
        <v>45764</v>
      </c>
      <c r="BE78" s="51"/>
      <c r="BF78" s="51"/>
      <c r="BG78" s="51"/>
      <c r="BH78" s="51"/>
      <c r="BI78" s="52"/>
      <c r="BK78" s="51"/>
      <c r="BL78" s="52"/>
      <c r="BM78" s="53"/>
      <c r="BN78" s="56"/>
      <c r="BO78" s="54"/>
      <c r="BP78" s="52"/>
      <c r="BQ78" s="52"/>
      <c r="BU78" s="23"/>
    </row>
    <row r="79" spans="1:73" ht="41.4" x14ac:dyDescent="0.3">
      <c r="A79" s="49" t="s">
        <v>587</v>
      </c>
      <c r="B79" s="50"/>
      <c r="C79" s="15" t="s">
        <v>74</v>
      </c>
      <c r="D79" s="51">
        <v>38312770</v>
      </c>
      <c r="E79" s="52" t="s">
        <v>619</v>
      </c>
      <c r="F79" s="129">
        <v>45758</v>
      </c>
      <c r="BE79" s="51" t="s">
        <v>620</v>
      </c>
      <c r="BF79" s="51" t="s">
        <v>621</v>
      </c>
      <c r="BG79" s="51" t="s">
        <v>622</v>
      </c>
      <c r="BH79" s="51" t="s">
        <v>623</v>
      </c>
      <c r="BI79" s="52" t="s">
        <v>624</v>
      </c>
      <c r="BK79" s="51" t="s">
        <v>625</v>
      </c>
      <c r="BL79" s="52" t="s">
        <v>626</v>
      </c>
      <c r="BM79" s="53" t="s">
        <v>145</v>
      </c>
      <c r="BN79" s="56" t="s">
        <v>241</v>
      </c>
      <c r="BO79" s="54" t="s">
        <v>94</v>
      </c>
      <c r="BP79" s="52" t="s">
        <v>627</v>
      </c>
      <c r="BQ79" s="52"/>
      <c r="BU79" s="23" t="s">
        <v>110</v>
      </c>
    </row>
    <row r="80" spans="1:73" ht="55.2" x14ac:dyDescent="0.3">
      <c r="A80" s="49" t="s">
        <v>587</v>
      </c>
      <c r="B80" s="50"/>
      <c r="C80" s="15" t="s">
        <v>74</v>
      </c>
      <c r="D80" s="51">
        <v>38315467</v>
      </c>
      <c r="E80" s="52" t="s">
        <v>606</v>
      </c>
      <c r="F80" s="129">
        <v>45758</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129">
        <v>45770</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129">
        <v>45764</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129">
        <v>45765</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5" t="s">
        <v>651</v>
      </c>
      <c r="B84" s="66">
        <v>45810</v>
      </c>
      <c r="D84" s="67">
        <v>38255702</v>
      </c>
      <c r="E84" s="67" t="s">
        <v>652</v>
      </c>
      <c r="F84" s="129">
        <v>45765</v>
      </c>
      <c r="BK84" s="69" t="s">
        <v>167</v>
      </c>
      <c r="BL84" s="70" t="s">
        <v>653</v>
      </c>
      <c r="BM84" s="71" t="s">
        <v>654</v>
      </c>
      <c r="BN84" s="28" t="s">
        <v>93</v>
      </c>
      <c r="BO84" s="69" t="s">
        <v>94</v>
      </c>
      <c r="BP84" s="70" t="s">
        <v>655</v>
      </c>
      <c r="BQ84" s="70"/>
      <c r="BU84" s="23" t="s">
        <v>97</v>
      </c>
    </row>
    <row r="85" spans="1:73" ht="86.4" x14ac:dyDescent="0.3">
      <c r="A85" s="65" t="s">
        <v>651</v>
      </c>
      <c r="B85" s="66">
        <v>45810</v>
      </c>
      <c r="D85" s="67">
        <v>38255955</v>
      </c>
      <c r="E85" s="67" t="s">
        <v>656</v>
      </c>
      <c r="F85" s="129">
        <v>45765</v>
      </c>
      <c r="BK85" s="69" t="s">
        <v>657</v>
      </c>
      <c r="BL85" s="70" t="s">
        <v>658</v>
      </c>
      <c r="BM85" s="71" t="s">
        <v>107</v>
      </c>
      <c r="BN85" s="37" t="s">
        <v>438</v>
      </c>
      <c r="BO85" s="69"/>
      <c r="BP85" s="70"/>
      <c r="BQ85" s="70"/>
      <c r="BU85" s="13" t="s">
        <v>171</v>
      </c>
    </row>
    <row r="86" spans="1:73" x14ac:dyDescent="0.3">
      <c r="A86" s="65" t="s">
        <v>651</v>
      </c>
      <c r="B86" s="66">
        <v>45811</v>
      </c>
      <c r="D86" s="67">
        <v>38261819</v>
      </c>
      <c r="E86" s="67" t="s">
        <v>659</v>
      </c>
      <c r="F86" s="129">
        <v>45765</v>
      </c>
      <c r="BK86" s="69"/>
      <c r="BL86" s="69">
        <f>BR86</f>
        <v>0</v>
      </c>
      <c r="BM86" s="71"/>
      <c r="BN86" s="69"/>
      <c r="BO86" s="69"/>
      <c r="BP86" s="70"/>
      <c r="BQ86" s="70"/>
      <c r="BU86" s="23"/>
    </row>
    <row r="87" spans="1:73" ht="86.4" x14ac:dyDescent="0.3">
      <c r="A87" s="65" t="s">
        <v>651</v>
      </c>
      <c r="B87" s="66">
        <v>45811</v>
      </c>
      <c r="D87" s="67">
        <v>38265068</v>
      </c>
      <c r="E87" s="72" t="s">
        <v>659</v>
      </c>
      <c r="F87" s="129">
        <v>45765</v>
      </c>
      <c r="BK87" s="69" t="s">
        <v>660</v>
      </c>
      <c r="BL87" s="70" t="s">
        <v>661</v>
      </c>
      <c r="BM87" s="19" t="s">
        <v>145</v>
      </c>
      <c r="BN87" s="28" t="s">
        <v>662</v>
      </c>
      <c r="BO87" s="69" t="s">
        <v>124</v>
      </c>
      <c r="BP87" s="70" t="s">
        <v>663</v>
      </c>
      <c r="BQ87" s="70"/>
      <c r="BU87" s="13" t="s">
        <v>171</v>
      </c>
    </row>
    <row r="88" spans="1:73" ht="115.2" x14ac:dyDescent="0.3">
      <c r="A88" s="65" t="s">
        <v>651</v>
      </c>
      <c r="B88" s="66">
        <v>45811</v>
      </c>
      <c r="D88" s="67">
        <v>38262969</v>
      </c>
      <c r="E88" s="72" t="s">
        <v>664</v>
      </c>
      <c r="F88" s="129">
        <v>45765</v>
      </c>
      <c r="BK88" s="69" t="s">
        <v>665</v>
      </c>
      <c r="BL88" s="69" t="s">
        <v>666</v>
      </c>
      <c r="BM88" s="37" t="s">
        <v>145</v>
      </c>
      <c r="BN88" s="28" t="s">
        <v>318</v>
      </c>
      <c r="BO88" s="69" t="s">
        <v>94</v>
      </c>
      <c r="BP88" s="70" t="s">
        <v>667</v>
      </c>
      <c r="BQ88" s="70"/>
      <c r="BU88" s="23" t="s">
        <v>110</v>
      </c>
    </row>
    <row r="89" spans="1:73" x14ac:dyDescent="0.3">
      <c r="A89" s="65" t="s">
        <v>651</v>
      </c>
      <c r="B89" s="66">
        <v>45811</v>
      </c>
      <c r="D89" s="67">
        <v>38265689</v>
      </c>
      <c r="E89" s="72" t="s">
        <v>668</v>
      </c>
      <c r="F89" s="129">
        <v>45765</v>
      </c>
      <c r="BK89" s="69"/>
      <c r="BL89" s="69">
        <f>BR89</f>
        <v>0</v>
      </c>
      <c r="BM89" s="71"/>
      <c r="BN89" s="69"/>
      <c r="BO89" s="69"/>
      <c r="BP89" s="70"/>
      <c r="BQ89" s="70"/>
      <c r="BU89" s="23"/>
    </row>
    <row r="90" spans="1:73" ht="72" x14ac:dyDescent="0.3">
      <c r="A90" s="65" t="s">
        <v>651</v>
      </c>
      <c r="B90" s="66">
        <v>45810</v>
      </c>
      <c r="D90" s="67">
        <v>38258508</v>
      </c>
      <c r="E90" s="72" t="s">
        <v>652</v>
      </c>
      <c r="F90" s="129">
        <v>45765</v>
      </c>
      <c r="BK90" s="69" t="s">
        <v>657</v>
      </c>
      <c r="BL90" s="69" t="s">
        <v>669</v>
      </c>
      <c r="BM90" s="37" t="s">
        <v>145</v>
      </c>
      <c r="BN90" s="28" t="s">
        <v>670</v>
      </c>
      <c r="BO90" s="69" t="s">
        <v>124</v>
      </c>
      <c r="BP90" s="70"/>
      <c r="BQ90" s="70" t="s">
        <v>671</v>
      </c>
      <c r="BU90" s="23" t="s">
        <v>97</v>
      </c>
    </row>
    <row r="91" spans="1:73" ht="43.2" x14ac:dyDescent="0.3">
      <c r="A91" s="65" t="s">
        <v>651</v>
      </c>
      <c r="B91" s="66">
        <v>45811</v>
      </c>
      <c r="D91" s="67">
        <v>38258443</v>
      </c>
      <c r="E91" s="72" t="s">
        <v>659</v>
      </c>
      <c r="F91" s="129">
        <v>45765</v>
      </c>
      <c r="BK91" s="69" t="s">
        <v>672</v>
      </c>
      <c r="BL91" s="70" t="s">
        <v>673</v>
      </c>
      <c r="BM91" s="19" t="s">
        <v>177</v>
      </c>
      <c r="BN91" s="17" t="s">
        <v>205</v>
      </c>
      <c r="BO91" s="69" t="s">
        <v>94</v>
      </c>
      <c r="BP91" s="70" t="s">
        <v>674</v>
      </c>
      <c r="BQ91" s="70"/>
      <c r="BU91" s="13" t="s">
        <v>171</v>
      </c>
    </row>
    <row r="92" spans="1:73" ht="115.2" x14ac:dyDescent="0.3">
      <c r="A92" s="65" t="s">
        <v>651</v>
      </c>
      <c r="B92" s="66">
        <v>45812</v>
      </c>
      <c r="D92" s="67">
        <v>38272481</v>
      </c>
      <c r="E92" s="67" t="s">
        <v>675</v>
      </c>
      <c r="F92" s="129">
        <v>45765</v>
      </c>
      <c r="BK92" s="69" t="s">
        <v>167</v>
      </c>
      <c r="BL92" s="69" t="s">
        <v>676</v>
      </c>
      <c r="BM92" s="37" t="s">
        <v>145</v>
      </c>
      <c r="BN92" s="28" t="s">
        <v>325</v>
      </c>
      <c r="BO92" s="69" t="s">
        <v>94</v>
      </c>
      <c r="BP92" s="70" t="s">
        <v>677</v>
      </c>
      <c r="BQ92" s="70" t="s">
        <v>663</v>
      </c>
      <c r="BU92" s="23" t="s">
        <v>97</v>
      </c>
    </row>
    <row r="93" spans="1:73" ht="409.6" x14ac:dyDescent="0.3">
      <c r="A93" s="65" t="s">
        <v>651</v>
      </c>
      <c r="B93" s="66">
        <v>45812</v>
      </c>
      <c r="D93" s="67">
        <v>38271499</v>
      </c>
      <c r="E93" s="72" t="s">
        <v>652</v>
      </c>
      <c r="F93" s="129">
        <v>45765</v>
      </c>
      <c r="BK93" s="69" t="s">
        <v>167</v>
      </c>
      <c r="BL93" s="70" t="s">
        <v>678</v>
      </c>
      <c r="BM93" s="73" t="s">
        <v>92</v>
      </c>
      <c r="BN93" s="74" t="s">
        <v>679</v>
      </c>
      <c r="BO93" s="69" t="s">
        <v>124</v>
      </c>
      <c r="BP93" s="70"/>
      <c r="BQ93" s="70" t="s">
        <v>680</v>
      </c>
      <c r="BU93" s="13" t="s">
        <v>171</v>
      </c>
    </row>
    <row r="94" spans="1:73" x14ac:dyDescent="0.3">
      <c r="A94" s="65" t="s">
        <v>651</v>
      </c>
      <c r="B94" s="66">
        <v>45812</v>
      </c>
      <c r="D94" s="67">
        <v>38271310</v>
      </c>
      <c r="E94" s="72" t="s">
        <v>659</v>
      </c>
      <c r="F94" s="129">
        <v>45765</v>
      </c>
      <c r="BK94" s="69"/>
      <c r="BL94" s="69">
        <f>BR94</f>
        <v>0</v>
      </c>
      <c r="BM94" s="71"/>
      <c r="BN94" s="69"/>
      <c r="BO94" s="69"/>
      <c r="BP94" s="70"/>
      <c r="BQ94" s="70"/>
      <c r="BU94" s="23"/>
    </row>
    <row r="95" spans="1:73" ht="144" x14ac:dyDescent="0.3">
      <c r="A95" s="65" t="s">
        <v>651</v>
      </c>
      <c r="B95" s="66">
        <v>45812</v>
      </c>
      <c r="D95" s="67">
        <v>38268051</v>
      </c>
      <c r="E95" s="72" t="s">
        <v>681</v>
      </c>
      <c r="F95" s="129">
        <v>45765</v>
      </c>
      <c r="BK95" s="69" t="s">
        <v>682</v>
      </c>
      <c r="BL95" s="70" t="s">
        <v>683</v>
      </c>
      <c r="BM95" s="19" t="s">
        <v>107</v>
      </c>
      <c r="BN95" s="37" t="s">
        <v>153</v>
      </c>
      <c r="BO95" s="69" t="s">
        <v>94</v>
      </c>
      <c r="BP95" s="70" t="s">
        <v>684</v>
      </c>
      <c r="BQ95" s="70"/>
      <c r="BU95" s="23" t="s">
        <v>110</v>
      </c>
    </row>
    <row r="96" spans="1:73" ht="57.6" x14ac:dyDescent="0.3">
      <c r="A96" s="65" t="s">
        <v>651</v>
      </c>
      <c r="B96" s="66">
        <v>45813</v>
      </c>
      <c r="D96" s="67">
        <v>38279384</v>
      </c>
      <c r="E96" s="72" t="s">
        <v>685</v>
      </c>
      <c r="F96" s="129">
        <v>45765</v>
      </c>
      <c r="BK96" s="69" t="s">
        <v>665</v>
      </c>
      <c r="BL96" s="70" t="s">
        <v>686</v>
      </c>
      <c r="BM96" s="19" t="s">
        <v>177</v>
      </c>
      <c r="BN96" s="28" t="s">
        <v>687</v>
      </c>
      <c r="BO96" s="69" t="s">
        <v>124</v>
      </c>
      <c r="BP96" s="70" t="s">
        <v>663</v>
      </c>
      <c r="BQ96" s="70"/>
      <c r="BU96" s="13" t="s">
        <v>171</v>
      </c>
    </row>
    <row r="97" spans="1:73" x14ac:dyDescent="0.3">
      <c r="A97" s="65" t="s">
        <v>651</v>
      </c>
      <c r="B97" s="66">
        <v>45813</v>
      </c>
      <c r="D97" s="67">
        <v>38281421</v>
      </c>
      <c r="E97" s="72" t="s">
        <v>688</v>
      </c>
      <c r="F97" s="129">
        <v>45765</v>
      </c>
      <c r="BK97" s="69"/>
      <c r="BL97" s="69">
        <f>BR97</f>
        <v>0</v>
      </c>
      <c r="BM97" s="71"/>
      <c r="BN97" s="69"/>
      <c r="BO97" s="69"/>
      <c r="BP97" s="70"/>
      <c r="BQ97" s="70"/>
      <c r="BU97" s="23"/>
    </row>
    <row r="98" spans="1:73" x14ac:dyDescent="0.3">
      <c r="A98" s="65" t="s">
        <v>651</v>
      </c>
      <c r="B98" s="66">
        <v>45813</v>
      </c>
      <c r="D98" s="67">
        <v>38274253</v>
      </c>
      <c r="E98" s="72" t="s">
        <v>689</v>
      </c>
      <c r="F98" s="129">
        <v>45765</v>
      </c>
      <c r="BK98" s="69"/>
      <c r="BL98" s="69">
        <f>BR98</f>
        <v>0</v>
      </c>
      <c r="BM98" s="71"/>
      <c r="BN98" s="69"/>
      <c r="BO98" s="69"/>
      <c r="BP98" s="70"/>
      <c r="BQ98" s="70"/>
      <c r="BU98" s="23"/>
    </row>
    <row r="99" spans="1:73" ht="28.8" x14ac:dyDescent="0.3">
      <c r="A99" s="65" t="s">
        <v>651</v>
      </c>
      <c r="B99" s="66">
        <v>45814</v>
      </c>
      <c r="D99" s="67">
        <v>38287761</v>
      </c>
      <c r="E99" s="67" t="s">
        <v>690</v>
      </c>
      <c r="F99" s="129">
        <v>45765</v>
      </c>
      <c r="BK99" s="69"/>
      <c r="BL99" s="70" t="s">
        <v>691</v>
      </c>
      <c r="BM99" s="37" t="s">
        <v>145</v>
      </c>
      <c r="BN99" s="28" t="s">
        <v>318</v>
      </c>
      <c r="BO99" s="69"/>
      <c r="BP99" s="70"/>
      <c r="BQ99" s="70"/>
      <c r="BU99" s="23" t="s">
        <v>110</v>
      </c>
    </row>
    <row r="100" spans="1:73" x14ac:dyDescent="0.3">
      <c r="A100" s="65" t="s">
        <v>651</v>
      </c>
      <c r="B100" s="66">
        <v>45814</v>
      </c>
      <c r="D100" s="67">
        <v>38288500</v>
      </c>
      <c r="E100" s="72" t="s">
        <v>656</v>
      </c>
      <c r="F100" s="129">
        <v>45765</v>
      </c>
      <c r="BK100" s="69"/>
      <c r="BL100" s="69">
        <f>BR100</f>
        <v>0</v>
      </c>
      <c r="BM100" s="71"/>
      <c r="BN100" s="69"/>
      <c r="BO100" s="69"/>
      <c r="BP100" s="70"/>
      <c r="BQ100" s="70"/>
      <c r="BU100" s="23"/>
    </row>
    <row r="101" spans="1:73" x14ac:dyDescent="0.3">
      <c r="A101" s="65" t="s">
        <v>651</v>
      </c>
      <c r="B101" s="66">
        <v>45814</v>
      </c>
      <c r="D101" s="75">
        <v>38288506</v>
      </c>
      <c r="E101" s="76" t="s">
        <v>668</v>
      </c>
      <c r="F101" s="129">
        <v>45765</v>
      </c>
      <c r="BK101" s="69"/>
      <c r="BL101" s="69">
        <f>BR101</f>
        <v>0</v>
      </c>
      <c r="BM101" s="71"/>
      <c r="BN101" s="69"/>
      <c r="BO101" s="69"/>
      <c r="BP101" s="70"/>
      <c r="BQ101" s="70"/>
      <c r="BU101" s="23"/>
    </row>
    <row r="102" spans="1:73" ht="86.4" x14ac:dyDescent="0.3">
      <c r="A102" s="65" t="s">
        <v>651</v>
      </c>
      <c r="B102" s="66">
        <v>45814</v>
      </c>
      <c r="D102" s="67">
        <v>38288605</v>
      </c>
      <c r="E102" s="67" t="s">
        <v>664</v>
      </c>
      <c r="F102" s="129">
        <v>45765</v>
      </c>
      <c r="BK102" s="69" t="s">
        <v>660</v>
      </c>
      <c r="BL102" s="70" t="s">
        <v>692</v>
      </c>
      <c r="BM102" s="19" t="s">
        <v>107</v>
      </c>
      <c r="BN102" s="37" t="s">
        <v>198</v>
      </c>
      <c r="BO102" s="69" t="s">
        <v>94</v>
      </c>
      <c r="BP102" s="70" t="s">
        <v>693</v>
      </c>
      <c r="BQ102" s="70" t="s">
        <v>663</v>
      </c>
      <c r="BU102" s="23" t="s">
        <v>110</v>
      </c>
    </row>
    <row r="103" spans="1:73" ht="158.4" x14ac:dyDescent="0.3">
      <c r="A103" s="65" t="s">
        <v>651</v>
      </c>
      <c r="B103" s="66">
        <v>45814</v>
      </c>
      <c r="D103" s="67">
        <v>38289091</v>
      </c>
      <c r="E103" s="67" t="s">
        <v>675</v>
      </c>
      <c r="F103" s="129">
        <v>45765</v>
      </c>
      <c r="BK103" s="69" t="s">
        <v>682</v>
      </c>
      <c r="BL103" s="70" t="s">
        <v>694</v>
      </c>
      <c r="BM103" s="19" t="s">
        <v>107</v>
      </c>
      <c r="BN103" s="37" t="s">
        <v>638</v>
      </c>
      <c r="BO103" s="69" t="s">
        <v>124</v>
      </c>
      <c r="BP103" s="70"/>
      <c r="BQ103" s="70" t="s">
        <v>695</v>
      </c>
      <c r="BU103" s="13" t="s">
        <v>171</v>
      </c>
    </row>
    <row r="104" spans="1:73" x14ac:dyDescent="0.3">
      <c r="A104" s="65" t="s">
        <v>651</v>
      </c>
      <c r="B104" s="66">
        <v>45814</v>
      </c>
      <c r="D104" s="67">
        <v>38290605</v>
      </c>
      <c r="E104" s="67" t="s">
        <v>696</v>
      </c>
      <c r="F104" s="129">
        <v>45765</v>
      </c>
      <c r="BK104" s="69"/>
      <c r="BL104" s="69">
        <f>BR104</f>
        <v>0</v>
      </c>
      <c r="BM104" s="71"/>
      <c r="BN104" s="69"/>
      <c r="BO104" s="69"/>
      <c r="BP104" s="70"/>
      <c r="BQ104" s="70"/>
      <c r="BU104" s="23"/>
    </row>
    <row r="105" spans="1:73" ht="100.8" x14ac:dyDescent="0.3">
      <c r="A105" s="65" t="s">
        <v>651</v>
      </c>
      <c r="B105" s="66">
        <v>45817</v>
      </c>
      <c r="D105" s="67">
        <v>38297871</v>
      </c>
      <c r="E105" s="67" t="s">
        <v>697</v>
      </c>
      <c r="F105" s="129">
        <v>45765</v>
      </c>
      <c r="BK105" s="69" t="s">
        <v>660</v>
      </c>
      <c r="BL105" s="70" t="s">
        <v>698</v>
      </c>
      <c r="BM105" s="71" t="s">
        <v>107</v>
      </c>
      <c r="BN105" s="37" t="s">
        <v>699</v>
      </c>
      <c r="BO105" s="69" t="s">
        <v>94</v>
      </c>
      <c r="BP105" s="70" t="s">
        <v>700</v>
      </c>
      <c r="BQ105" s="70" t="s">
        <v>701</v>
      </c>
      <c r="BU105" s="23" t="s">
        <v>110</v>
      </c>
    </row>
    <row r="106" spans="1:73" ht="187.2" x14ac:dyDescent="0.3">
      <c r="A106" s="65" t="s">
        <v>651</v>
      </c>
      <c r="B106" s="66">
        <v>45817</v>
      </c>
      <c r="D106" s="67">
        <v>38292563</v>
      </c>
      <c r="E106" s="67" t="s">
        <v>702</v>
      </c>
      <c r="F106" s="129">
        <v>45765</v>
      </c>
      <c r="BK106" s="69" t="s">
        <v>665</v>
      </c>
      <c r="BL106" s="70" t="s">
        <v>703</v>
      </c>
      <c r="BM106" s="19" t="s">
        <v>107</v>
      </c>
      <c r="BN106" s="37" t="s">
        <v>291</v>
      </c>
      <c r="BO106" s="69" t="s">
        <v>124</v>
      </c>
      <c r="BP106" s="70" t="s">
        <v>704</v>
      </c>
      <c r="BQ106" s="70" t="s">
        <v>705</v>
      </c>
      <c r="BU106" s="13" t="s">
        <v>171</v>
      </c>
    </row>
    <row r="107" spans="1:73" x14ac:dyDescent="0.3">
      <c r="A107" s="65" t="s">
        <v>651</v>
      </c>
      <c r="B107" s="66">
        <v>45818</v>
      </c>
      <c r="D107" s="67">
        <v>38305660</v>
      </c>
      <c r="E107" s="67" t="s">
        <v>706</v>
      </c>
      <c r="F107" s="129">
        <v>45765</v>
      </c>
      <c r="BK107" s="69"/>
      <c r="BL107" s="70">
        <f>BS107</f>
        <v>0</v>
      </c>
      <c r="BM107" s="71"/>
      <c r="BN107" s="69"/>
      <c r="BO107" s="69"/>
      <c r="BP107" s="70"/>
      <c r="BQ107" s="70"/>
      <c r="BU107" s="23"/>
    </row>
    <row r="108" spans="1:73" ht="144" x14ac:dyDescent="0.3">
      <c r="A108" s="65" t="s">
        <v>651</v>
      </c>
      <c r="B108" s="66">
        <v>45818</v>
      </c>
      <c r="D108" s="67">
        <v>38299064</v>
      </c>
      <c r="E108" s="67" t="s">
        <v>707</v>
      </c>
      <c r="F108" s="129">
        <v>45765</v>
      </c>
      <c r="BK108" s="69" t="s">
        <v>660</v>
      </c>
      <c r="BL108" s="70" t="s">
        <v>708</v>
      </c>
      <c r="BM108" s="19" t="s">
        <v>107</v>
      </c>
      <c r="BN108" s="37" t="s">
        <v>438</v>
      </c>
      <c r="BO108" s="69" t="s">
        <v>124</v>
      </c>
      <c r="BP108" s="70" t="s">
        <v>704</v>
      </c>
      <c r="BQ108" s="70" t="s">
        <v>709</v>
      </c>
      <c r="BU108" s="13" t="s">
        <v>171</v>
      </c>
    </row>
    <row r="109" spans="1:73" ht="72" x14ac:dyDescent="0.3">
      <c r="A109" s="65" t="s">
        <v>651</v>
      </c>
      <c r="B109" s="66">
        <v>45818</v>
      </c>
      <c r="D109" s="67">
        <v>38302210</v>
      </c>
      <c r="E109" s="67" t="s">
        <v>689</v>
      </c>
      <c r="F109" s="129">
        <v>45765</v>
      </c>
      <c r="BK109" s="69" t="s">
        <v>710</v>
      </c>
      <c r="BL109" s="70" t="s">
        <v>711</v>
      </c>
      <c r="BM109" s="19" t="s">
        <v>107</v>
      </c>
      <c r="BN109" s="17" t="s">
        <v>220</v>
      </c>
      <c r="BO109" s="69" t="s">
        <v>94</v>
      </c>
      <c r="BP109" s="70" t="s">
        <v>712</v>
      </c>
      <c r="BQ109" s="70" t="s">
        <v>663</v>
      </c>
      <c r="BU109" s="23" t="s">
        <v>110</v>
      </c>
    </row>
    <row r="110" spans="1:73" ht="43.2" x14ac:dyDescent="0.3">
      <c r="A110" s="65" t="s">
        <v>651</v>
      </c>
      <c r="B110" s="66">
        <v>45818</v>
      </c>
      <c r="D110" s="67">
        <v>38299095</v>
      </c>
      <c r="E110" s="67" t="s">
        <v>713</v>
      </c>
      <c r="F110" s="129">
        <v>45765</v>
      </c>
      <c r="BK110" s="69" t="s">
        <v>665</v>
      </c>
      <c r="BL110" s="70" t="s">
        <v>714</v>
      </c>
      <c r="BM110" s="19" t="s">
        <v>177</v>
      </c>
      <c r="BN110" s="28" t="s">
        <v>715</v>
      </c>
      <c r="BO110" s="69" t="s">
        <v>124</v>
      </c>
      <c r="BP110" s="70" t="s">
        <v>716</v>
      </c>
      <c r="BQ110" s="70"/>
      <c r="BU110" s="13" t="s">
        <v>171</v>
      </c>
    </row>
    <row r="111" spans="1:73" ht="86.4" x14ac:dyDescent="0.3">
      <c r="A111" s="65" t="s">
        <v>651</v>
      </c>
      <c r="B111" s="66">
        <v>45819</v>
      </c>
      <c r="D111" s="67">
        <v>38314213</v>
      </c>
      <c r="E111" s="67" t="s">
        <v>675</v>
      </c>
      <c r="F111" s="129">
        <v>45765</v>
      </c>
      <c r="BK111" s="69" t="s">
        <v>167</v>
      </c>
      <c r="BL111" s="70" t="s">
        <v>717</v>
      </c>
      <c r="BM111" s="19" t="s">
        <v>107</v>
      </c>
      <c r="BN111" s="17" t="s">
        <v>220</v>
      </c>
      <c r="BO111" s="69" t="s">
        <v>94</v>
      </c>
      <c r="BP111" s="70" t="s">
        <v>718</v>
      </c>
      <c r="BQ111" s="70"/>
      <c r="BU111" s="23" t="s">
        <v>110</v>
      </c>
    </row>
    <row r="112" spans="1:73" ht="187.2" x14ac:dyDescent="0.3">
      <c r="A112" s="65" t="s">
        <v>651</v>
      </c>
      <c r="B112" s="66">
        <v>45819</v>
      </c>
      <c r="D112" s="67">
        <v>38312533</v>
      </c>
      <c r="E112" s="67" t="s">
        <v>719</v>
      </c>
      <c r="F112" s="129">
        <v>45765</v>
      </c>
      <c r="BK112" s="69" t="s">
        <v>720</v>
      </c>
      <c r="BL112" s="70" t="s">
        <v>721</v>
      </c>
      <c r="BM112" s="26" t="s">
        <v>407</v>
      </c>
      <c r="BN112" s="77" t="s">
        <v>722</v>
      </c>
      <c r="BO112" s="69" t="s">
        <v>124</v>
      </c>
      <c r="BP112" s="70" t="s">
        <v>704</v>
      </c>
      <c r="BQ112" s="70" t="s">
        <v>723</v>
      </c>
      <c r="BU112" s="23" t="s">
        <v>97</v>
      </c>
    </row>
    <row r="113" spans="1:73" x14ac:dyDescent="0.3">
      <c r="A113" s="65" t="s">
        <v>651</v>
      </c>
      <c r="B113" s="66">
        <v>45819</v>
      </c>
      <c r="D113" s="67">
        <v>38313413</v>
      </c>
      <c r="E113" s="67" t="s">
        <v>659</v>
      </c>
      <c r="F113" s="129">
        <v>45765</v>
      </c>
      <c r="BK113" s="69"/>
      <c r="BL113" s="69">
        <f>BR113</f>
        <v>0</v>
      </c>
      <c r="BM113" s="71"/>
      <c r="BN113" s="69"/>
      <c r="BO113" s="69"/>
      <c r="BP113" s="70"/>
      <c r="BQ113" s="70"/>
      <c r="BU113" s="23"/>
    </row>
    <row r="114" spans="1:73" x14ac:dyDescent="0.3">
      <c r="A114" s="65" t="s">
        <v>651</v>
      </c>
      <c r="B114" s="66">
        <v>45819</v>
      </c>
      <c r="D114" s="78">
        <v>38313912</v>
      </c>
      <c r="E114" s="78" t="s">
        <v>659</v>
      </c>
      <c r="F114" s="129">
        <v>45765</v>
      </c>
      <c r="BK114" s="69"/>
      <c r="BL114" s="70">
        <f>BS114</f>
        <v>0</v>
      </c>
      <c r="BM114" s="71"/>
      <c r="BN114" s="69"/>
      <c r="BO114" s="69"/>
      <c r="BP114" s="70"/>
      <c r="BQ114" s="70"/>
      <c r="BU114" s="23"/>
    </row>
    <row r="115" spans="1:73" ht="28.8" x14ac:dyDescent="0.3">
      <c r="A115" s="65" t="s">
        <v>651</v>
      </c>
      <c r="B115" s="66">
        <v>45820</v>
      </c>
      <c r="D115" s="78">
        <v>38320924</v>
      </c>
      <c r="E115" s="78" t="s">
        <v>724</v>
      </c>
      <c r="F115" s="129">
        <v>45765</v>
      </c>
      <c r="BK115" s="69"/>
      <c r="BL115" s="70" t="s">
        <v>725</v>
      </c>
      <c r="BM115" s="71"/>
      <c r="BN115" s="69"/>
      <c r="BO115" s="69"/>
      <c r="BP115" s="70"/>
      <c r="BQ115" s="70"/>
      <c r="BU115" s="23"/>
    </row>
    <row r="116" spans="1:73" ht="187.2" x14ac:dyDescent="0.3">
      <c r="A116" s="65" t="s">
        <v>651</v>
      </c>
      <c r="B116" s="66">
        <v>45820</v>
      </c>
      <c r="D116" s="78">
        <v>38316763</v>
      </c>
      <c r="E116" s="78" t="s">
        <v>726</v>
      </c>
      <c r="F116" s="129">
        <v>45765</v>
      </c>
      <c r="BK116" s="69" t="s">
        <v>167</v>
      </c>
      <c r="BL116" s="70" t="s">
        <v>727</v>
      </c>
      <c r="BM116" s="19" t="s">
        <v>177</v>
      </c>
      <c r="BN116" s="28" t="s">
        <v>687</v>
      </c>
      <c r="BO116" s="69" t="s">
        <v>94</v>
      </c>
      <c r="BP116" s="70" t="s">
        <v>728</v>
      </c>
      <c r="BQ116" s="70"/>
      <c r="BU116" s="13" t="s">
        <v>171</v>
      </c>
    </row>
    <row r="117" spans="1:73" ht="86.4" x14ac:dyDescent="0.3">
      <c r="A117" s="65" t="s">
        <v>651</v>
      </c>
      <c r="B117" s="66">
        <v>45820</v>
      </c>
      <c r="D117" s="78">
        <v>38322382</v>
      </c>
      <c r="E117" s="78" t="s">
        <v>681</v>
      </c>
      <c r="F117" s="129">
        <v>45765</v>
      </c>
      <c r="BK117" s="69" t="s">
        <v>665</v>
      </c>
      <c r="BL117" s="70" t="s">
        <v>729</v>
      </c>
      <c r="BM117" s="19" t="s">
        <v>177</v>
      </c>
      <c r="BN117" s="28" t="s">
        <v>687</v>
      </c>
      <c r="BO117" s="69" t="s">
        <v>94</v>
      </c>
      <c r="BP117" s="70" t="s">
        <v>730</v>
      </c>
      <c r="BQ117" s="70"/>
      <c r="BU117" s="13" t="s">
        <v>171</v>
      </c>
    </row>
    <row r="118" spans="1:73" x14ac:dyDescent="0.3">
      <c r="A118" s="65" t="s">
        <v>651</v>
      </c>
      <c r="B118" s="66">
        <v>45821</v>
      </c>
      <c r="D118" s="67">
        <v>38328890</v>
      </c>
      <c r="E118" s="67" t="s">
        <v>726</v>
      </c>
      <c r="F118" s="129">
        <v>45765</v>
      </c>
      <c r="BK118" s="69" t="s">
        <v>660</v>
      </c>
      <c r="BM118" s="71"/>
      <c r="BN118" s="69"/>
      <c r="BO118" s="69" t="s">
        <v>94</v>
      </c>
      <c r="BP118" s="70"/>
      <c r="BQ118" s="70"/>
      <c r="BU118" s="23"/>
    </row>
    <row r="119" spans="1:73" x14ac:dyDescent="0.3">
      <c r="A119" s="65" t="s">
        <v>651</v>
      </c>
      <c r="B119" s="66">
        <v>45821</v>
      </c>
      <c r="D119" s="67">
        <v>38331929</v>
      </c>
      <c r="E119" s="67" t="s">
        <v>659</v>
      </c>
      <c r="F119" s="129">
        <v>45765</v>
      </c>
      <c r="BK119" s="69"/>
      <c r="BM119" s="71"/>
      <c r="BN119" s="69"/>
      <c r="BO119" s="69"/>
      <c r="BP119" s="70"/>
      <c r="BQ119" s="70"/>
      <c r="BU119" s="23"/>
    </row>
    <row r="120" spans="1:73" ht="43.2" x14ac:dyDescent="0.3">
      <c r="A120" s="65" t="s">
        <v>651</v>
      </c>
      <c r="B120" s="66">
        <v>45824</v>
      </c>
      <c r="D120" s="79">
        <v>38328558</v>
      </c>
      <c r="E120" s="79" t="s">
        <v>731</v>
      </c>
      <c r="F120" s="129">
        <v>45765</v>
      </c>
      <c r="BK120" s="80" t="s">
        <v>682</v>
      </c>
      <c r="BM120" s="19" t="s">
        <v>177</v>
      </c>
      <c r="BN120" s="28" t="s">
        <v>732</v>
      </c>
      <c r="BO120" s="80" t="s">
        <v>124</v>
      </c>
      <c r="BP120" s="81"/>
      <c r="BQ120" s="81" t="s">
        <v>733</v>
      </c>
      <c r="BU120" s="13" t="s">
        <v>171</v>
      </c>
    </row>
    <row r="121" spans="1:73" ht="57.6" x14ac:dyDescent="0.3">
      <c r="A121" s="65" t="s">
        <v>651</v>
      </c>
      <c r="B121" s="66">
        <v>45824</v>
      </c>
      <c r="D121" s="67">
        <v>38334936</v>
      </c>
      <c r="E121" s="67" t="s">
        <v>734</v>
      </c>
      <c r="F121" s="129">
        <v>45765</v>
      </c>
      <c r="BK121" s="69" t="s">
        <v>167</v>
      </c>
      <c r="BM121" s="19" t="s">
        <v>107</v>
      </c>
      <c r="BN121" s="37" t="s">
        <v>291</v>
      </c>
      <c r="BO121" s="69" t="s">
        <v>124</v>
      </c>
      <c r="BP121" s="70" t="s">
        <v>704</v>
      </c>
      <c r="BQ121" s="70" t="s">
        <v>735</v>
      </c>
      <c r="BU121" s="13" t="s">
        <v>171</v>
      </c>
    </row>
    <row r="122" spans="1:73" ht="57.6" x14ac:dyDescent="0.3">
      <c r="A122" s="65" t="s">
        <v>651</v>
      </c>
      <c r="B122" s="66">
        <v>45824</v>
      </c>
      <c r="D122" s="67">
        <v>38336553</v>
      </c>
      <c r="E122" s="67" t="s">
        <v>736</v>
      </c>
      <c r="F122" s="129">
        <v>45765</v>
      </c>
      <c r="BK122" s="69" t="s">
        <v>660</v>
      </c>
      <c r="BM122" s="19" t="s">
        <v>107</v>
      </c>
      <c r="BN122" s="37" t="s">
        <v>198</v>
      </c>
      <c r="BO122" s="69" t="s">
        <v>94</v>
      </c>
      <c r="BP122" s="70" t="s">
        <v>737</v>
      </c>
      <c r="BQ122" s="70" t="s">
        <v>663</v>
      </c>
      <c r="BU122" s="23" t="s">
        <v>110</v>
      </c>
    </row>
    <row r="123" spans="1:73" ht="43.2" x14ac:dyDescent="0.3">
      <c r="A123" s="65" t="s">
        <v>651</v>
      </c>
      <c r="B123" s="66">
        <v>45824</v>
      </c>
      <c r="D123" s="67">
        <v>38336296</v>
      </c>
      <c r="E123" s="67" t="s">
        <v>738</v>
      </c>
      <c r="F123" s="129">
        <v>45765</v>
      </c>
      <c r="BK123" s="69" t="s">
        <v>660</v>
      </c>
      <c r="BM123" s="19" t="s">
        <v>107</v>
      </c>
      <c r="BN123" s="37" t="s">
        <v>198</v>
      </c>
      <c r="BO123" s="69" t="s">
        <v>124</v>
      </c>
      <c r="BP123" s="70" t="s">
        <v>739</v>
      </c>
      <c r="BQ123" s="70" t="s">
        <v>663</v>
      </c>
      <c r="BU123" s="23" t="s">
        <v>110</v>
      </c>
    </row>
    <row r="124" spans="1:73" x14ac:dyDescent="0.3">
      <c r="A124" s="65" t="s">
        <v>651</v>
      </c>
      <c r="B124" s="66">
        <v>45824</v>
      </c>
      <c r="D124" s="67">
        <v>38336841</v>
      </c>
      <c r="E124" s="67" t="s">
        <v>738</v>
      </c>
      <c r="F124" s="129">
        <v>45765</v>
      </c>
      <c r="BK124" s="69"/>
      <c r="BM124" s="71"/>
      <c r="BN124" s="69"/>
      <c r="BO124" s="69"/>
      <c r="BP124" s="70"/>
      <c r="BQ124" s="70"/>
      <c r="BU124" s="23"/>
    </row>
    <row r="125" spans="1:73" ht="86.4" x14ac:dyDescent="0.3">
      <c r="A125" s="65" t="s">
        <v>651</v>
      </c>
      <c r="B125" s="66">
        <v>45825</v>
      </c>
      <c r="D125" s="67">
        <v>38342870</v>
      </c>
      <c r="E125" s="67" t="s">
        <v>740</v>
      </c>
      <c r="F125" s="129">
        <v>45765</v>
      </c>
      <c r="BK125" s="69" t="s">
        <v>720</v>
      </c>
      <c r="BM125" s="19" t="s">
        <v>177</v>
      </c>
      <c r="BN125" s="28" t="s">
        <v>741</v>
      </c>
      <c r="BO125" s="69" t="s">
        <v>124</v>
      </c>
      <c r="BP125" s="70" t="s">
        <v>742</v>
      </c>
      <c r="BQ125" s="70" t="s">
        <v>743</v>
      </c>
      <c r="BU125" s="13" t="s">
        <v>171</v>
      </c>
    </row>
    <row r="126" spans="1:73" ht="28.8" x14ac:dyDescent="0.3">
      <c r="A126" s="65" t="s">
        <v>651</v>
      </c>
      <c r="B126" s="66">
        <v>45826</v>
      </c>
      <c r="D126" s="67">
        <v>38344129</v>
      </c>
      <c r="E126" s="67" t="s">
        <v>689</v>
      </c>
      <c r="F126" s="129">
        <v>45765</v>
      </c>
      <c r="BK126" s="69" t="s">
        <v>744</v>
      </c>
      <c r="BM126" s="71"/>
      <c r="BN126" s="69"/>
      <c r="BO126" s="69" t="s">
        <v>94</v>
      </c>
      <c r="BP126" s="70" t="s">
        <v>745</v>
      </c>
      <c r="BQ126" s="70" t="s">
        <v>663</v>
      </c>
      <c r="BU126" s="23"/>
    </row>
    <row r="127" spans="1:73" ht="57.6" x14ac:dyDescent="0.3">
      <c r="A127" s="65" t="s">
        <v>651</v>
      </c>
      <c r="B127" s="66">
        <v>45826</v>
      </c>
      <c r="D127" s="67">
        <v>38348787</v>
      </c>
      <c r="E127" s="67" t="s">
        <v>736</v>
      </c>
      <c r="F127" s="129">
        <v>45765</v>
      </c>
      <c r="BK127" s="69" t="s">
        <v>746</v>
      </c>
      <c r="BM127" s="71" t="s">
        <v>145</v>
      </c>
      <c r="BN127" s="28" t="s">
        <v>747</v>
      </c>
      <c r="BO127" s="69" t="s">
        <v>94</v>
      </c>
      <c r="BP127" s="70" t="s">
        <v>748</v>
      </c>
      <c r="BQ127" s="70" t="s">
        <v>663</v>
      </c>
      <c r="BU127" s="23" t="s">
        <v>97</v>
      </c>
    </row>
    <row r="128" spans="1:73" ht="28.8" x14ac:dyDescent="0.3">
      <c r="A128" s="65" t="s">
        <v>651</v>
      </c>
      <c r="B128" s="66">
        <v>45826</v>
      </c>
      <c r="D128" s="67">
        <v>38349285</v>
      </c>
      <c r="E128" s="67" t="s">
        <v>736</v>
      </c>
      <c r="F128" s="129">
        <v>45765</v>
      </c>
      <c r="BK128" s="69" t="s">
        <v>665</v>
      </c>
      <c r="BM128" s="19" t="s">
        <v>177</v>
      </c>
      <c r="BN128" s="69" t="s">
        <v>749</v>
      </c>
      <c r="BO128" s="69" t="s">
        <v>124</v>
      </c>
      <c r="BP128" s="70" t="s">
        <v>663</v>
      </c>
      <c r="BQ128" s="70" t="s">
        <v>750</v>
      </c>
      <c r="BU128" s="23" t="s">
        <v>171</v>
      </c>
    </row>
    <row r="129" spans="1:73" ht="57.6" x14ac:dyDescent="0.3">
      <c r="A129" s="65" t="s">
        <v>651</v>
      </c>
      <c r="B129" s="66">
        <v>45826</v>
      </c>
      <c r="D129" s="67">
        <v>38344068</v>
      </c>
      <c r="E129" s="67" t="s">
        <v>713</v>
      </c>
      <c r="F129" s="129">
        <v>45765</v>
      </c>
      <c r="BK129" s="69" t="s">
        <v>665</v>
      </c>
      <c r="BM129" s="19" t="s">
        <v>107</v>
      </c>
      <c r="BN129" s="37" t="s">
        <v>123</v>
      </c>
      <c r="BO129" s="69" t="s">
        <v>94</v>
      </c>
      <c r="BP129" s="70" t="s">
        <v>751</v>
      </c>
      <c r="BQ129" s="70" t="s">
        <v>701</v>
      </c>
      <c r="BU129" s="23" t="s">
        <v>97</v>
      </c>
    </row>
    <row r="130" spans="1:73" ht="28.8" x14ac:dyDescent="0.3">
      <c r="A130" s="65" t="s">
        <v>651</v>
      </c>
      <c r="B130" s="66">
        <v>45826</v>
      </c>
      <c r="D130" s="67">
        <v>38352756</v>
      </c>
      <c r="E130" s="67" t="s">
        <v>726</v>
      </c>
      <c r="F130" s="129">
        <v>45765</v>
      </c>
      <c r="BK130" s="69" t="s">
        <v>167</v>
      </c>
      <c r="BM130" s="37" t="s">
        <v>92</v>
      </c>
      <c r="BN130" s="28" t="s">
        <v>93</v>
      </c>
      <c r="BO130" s="69" t="s">
        <v>124</v>
      </c>
      <c r="BP130" s="70"/>
      <c r="BQ130" s="70" t="s">
        <v>752</v>
      </c>
      <c r="BU130" s="23" t="s">
        <v>97</v>
      </c>
    </row>
    <row r="131" spans="1:73" ht="28.8" x14ac:dyDescent="0.3">
      <c r="A131" s="65" t="s">
        <v>651</v>
      </c>
      <c r="B131" s="66">
        <v>45827</v>
      </c>
      <c r="D131" s="67">
        <v>38358746</v>
      </c>
      <c r="E131" s="67" t="s">
        <v>689</v>
      </c>
      <c r="F131" s="129">
        <v>45765</v>
      </c>
      <c r="BK131" s="69" t="s">
        <v>167</v>
      </c>
      <c r="BM131" s="37" t="s">
        <v>92</v>
      </c>
      <c r="BN131" s="28" t="s">
        <v>93</v>
      </c>
      <c r="BO131" s="69" t="s">
        <v>124</v>
      </c>
      <c r="BP131" s="70" t="s">
        <v>663</v>
      </c>
      <c r="BQ131" s="70" t="s">
        <v>753</v>
      </c>
      <c r="BU131" s="23" t="s">
        <v>97</v>
      </c>
    </row>
    <row r="132" spans="1:73" x14ac:dyDescent="0.3">
      <c r="A132" s="65" t="s">
        <v>651</v>
      </c>
      <c r="B132" s="66">
        <v>45827</v>
      </c>
      <c r="D132" s="67">
        <v>38358243</v>
      </c>
      <c r="E132" s="67" t="s">
        <v>754</v>
      </c>
      <c r="F132" s="129">
        <v>45765</v>
      </c>
      <c r="BK132" s="69" t="s">
        <v>665</v>
      </c>
      <c r="BM132" s="19" t="s">
        <v>107</v>
      </c>
      <c r="BN132" s="37" t="s">
        <v>123</v>
      </c>
      <c r="BO132" s="69" t="s">
        <v>94</v>
      </c>
      <c r="BP132" s="70" t="s">
        <v>663</v>
      </c>
      <c r="BQ132" s="70" t="s">
        <v>663</v>
      </c>
      <c r="BU132" s="23" t="s">
        <v>97</v>
      </c>
    </row>
    <row r="133" spans="1:73" x14ac:dyDescent="0.3">
      <c r="A133" s="65" t="s">
        <v>651</v>
      </c>
      <c r="B133" s="66">
        <v>45827</v>
      </c>
      <c r="D133" s="67">
        <v>38349276</v>
      </c>
      <c r="E133" s="67" t="s">
        <v>738</v>
      </c>
      <c r="F133" s="129">
        <v>45765</v>
      </c>
      <c r="BK133" s="69" t="s">
        <v>682</v>
      </c>
      <c r="BM133" s="19" t="s">
        <v>107</v>
      </c>
      <c r="BN133" s="37" t="s">
        <v>123</v>
      </c>
      <c r="BO133" s="69" t="s">
        <v>124</v>
      </c>
      <c r="BP133" s="70" t="s">
        <v>663</v>
      </c>
      <c r="BQ133" s="70" t="s">
        <v>755</v>
      </c>
      <c r="BU133" s="23" t="s">
        <v>97</v>
      </c>
    </row>
    <row r="134" spans="1:73" x14ac:dyDescent="0.3">
      <c r="A134" s="65" t="s">
        <v>651</v>
      </c>
      <c r="B134" s="66">
        <v>45828.272222222222</v>
      </c>
      <c r="D134" s="67">
        <v>38361708</v>
      </c>
      <c r="E134" s="67" t="s">
        <v>652</v>
      </c>
      <c r="F134" s="129">
        <v>45765</v>
      </c>
      <c r="BK134" s="69" t="s">
        <v>682</v>
      </c>
      <c r="BM134" s="37" t="s">
        <v>177</v>
      </c>
      <c r="BN134" s="69" t="s">
        <v>749</v>
      </c>
      <c r="BO134" s="69" t="s">
        <v>124</v>
      </c>
      <c r="BP134" s="70" t="s">
        <v>663</v>
      </c>
      <c r="BQ134" s="70"/>
      <c r="BU134" s="23" t="s">
        <v>171</v>
      </c>
    </row>
    <row r="135" spans="1:73" ht="28.8" x14ac:dyDescent="0.3">
      <c r="A135" s="65" t="s">
        <v>651</v>
      </c>
      <c r="B135" s="66">
        <v>45828.677777777775</v>
      </c>
      <c r="D135" s="82">
        <v>38354633</v>
      </c>
      <c r="E135" s="72" t="s">
        <v>664</v>
      </c>
      <c r="F135" s="129">
        <v>45765</v>
      </c>
      <c r="BK135" s="82" t="s">
        <v>167</v>
      </c>
      <c r="BM135" s="19" t="s">
        <v>145</v>
      </c>
      <c r="BN135" s="54" t="s">
        <v>662</v>
      </c>
      <c r="BO135" s="69" t="s">
        <v>94</v>
      </c>
      <c r="BP135" s="70" t="s">
        <v>756</v>
      </c>
      <c r="BQ135" s="70" t="s">
        <v>663</v>
      </c>
      <c r="BU135" s="13" t="s">
        <v>171</v>
      </c>
    </row>
    <row r="136" spans="1:73" x14ac:dyDescent="0.3">
      <c r="A136" s="65" t="s">
        <v>651</v>
      </c>
      <c r="B136" s="66">
        <v>45831.599305555559</v>
      </c>
      <c r="D136" s="82">
        <v>38371950</v>
      </c>
      <c r="E136" s="72" t="s">
        <v>757</v>
      </c>
      <c r="F136" s="129">
        <v>45765</v>
      </c>
      <c r="BK136" s="82"/>
      <c r="BM136" s="83"/>
      <c r="BN136" s="84"/>
      <c r="BO136" s="84"/>
      <c r="BP136" s="85"/>
      <c r="BQ136" s="85"/>
      <c r="BU136" s="23"/>
    </row>
    <row r="137" spans="1:73" ht="43.2" x14ac:dyDescent="0.3">
      <c r="A137" s="65" t="s">
        <v>651</v>
      </c>
      <c r="B137" s="66">
        <v>45832.63958333333</v>
      </c>
      <c r="D137" s="82">
        <v>38368993</v>
      </c>
      <c r="E137" s="86" t="s">
        <v>758</v>
      </c>
      <c r="F137" s="129">
        <v>45765</v>
      </c>
      <c r="BK137" s="82" t="s">
        <v>167</v>
      </c>
      <c r="BM137" s="37" t="s">
        <v>177</v>
      </c>
      <c r="BN137" s="69" t="s">
        <v>749</v>
      </c>
      <c r="BO137" s="69" t="s">
        <v>124</v>
      </c>
      <c r="BP137" s="70" t="s">
        <v>759</v>
      </c>
      <c r="BQ137" s="70" t="s">
        <v>760</v>
      </c>
      <c r="BU137" s="23" t="s">
        <v>171</v>
      </c>
    </row>
    <row r="138" spans="1:73" ht="28.8" x14ac:dyDescent="0.3">
      <c r="A138" s="65" t="s">
        <v>651</v>
      </c>
      <c r="B138" s="66">
        <v>45832.364583333336</v>
      </c>
      <c r="D138" s="82">
        <v>38375785</v>
      </c>
      <c r="E138" s="86" t="s">
        <v>656</v>
      </c>
      <c r="F138" s="129">
        <v>45765</v>
      </c>
      <c r="BK138" s="82" t="s">
        <v>660</v>
      </c>
      <c r="BM138" s="19" t="s">
        <v>107</v>
      </c>
      <c r="BN138" s="37" t="s">
        <v>198</v>
      </c>
      <c r="BO138" s="69" t="s">
        <v>94</v>
      </c>
      <c r="BP138" s="70" t="s">
        <v>761</v>
      </c>
      <c r="BQ138" s="70" t="s">
        <v>762</v>
      </c>
      <c r="BU138" s="23" t="s">
        <v>110</v>
      </c>
    </row>
    <row r="139" spans="1:73" x14ac:dyDescent="0.3">
      <c r="A139" s="65" t="s">
        <v>651</v>
      </c>
      <c r="B139" s="66">
        <v>45832.589583333334</v>
      </c>
      <c r="D139" s="82">
        <v>38370196</v>
      </c>
      <c r="E139" s="86" t="s">
        <v>659</v>
      </c>
      <c r="F139" s="129">
        <v>45765</v>
      </c>
      <c r="BK139" s="82"/>
      <c r="BM139" s="71"/>
      <c r="BN139" s="69"/>
      <c r="BO139" s="69"/>
      <c r="BP139" s="70"/>
      <c r="BQ139" s="70"/>
      <c r="BU139" s="23"/>
    </row>
    <row r="140" spans="1:73" ht="43.2" x14ac:dyDescent="0.3">
      <c r="A140" s="65" t="s">
        <v>651</v>
      </c>
      <c r="B140" s="66">
        <v>45832.411111111112</v>
      </c>
      <c r="D140" s="82">
        <v>38370978</v>
      </c>
      <c r="E140" s="86" t="s">
        <v>724</v>
      </c>
      <c r="F140" s="129">
        <v>45765</v>
      </c>
      <c r="BK140" s="82" t="s">
        <v>660</v>
      </c>
      <c r="BM140" s="19" t="s">
        <v>177</v>
      </c>
      <c r="BN140" s="17" t="s">
        <v>205</v>
      </c>
      <c r="BO140" s="69" t="s">
        <v>124</v>
      </c>
      <c r="BP140" s="70" t="s">
        <v>759</v>
      </c>
      <c r="BQ140" s="70" t="s">
        <v>763</v>
      </c>
      <c r="BU140" s="13" t="s">
        <v>171</v>
      </c>
    </row>
    <row r="141" spans="1:73" ht="43.2" x14ac:dyDescent="0.3">
      <c r="A141" s="65" t="s">
        <v>651</v>
      </c>
      <c r="B141" s="66">
        <v>45832.411111111112</v>
      </c>
      <c r="D141" s="82">
        <v>38370956</v>
      </c>
      <c r="E141" s="86" t="s">
        <v>689</v>
      </c>
      <c r="F141" s="129">
        <v>45765</v>
      </c>
      <c r="BK141" s="82" t="s">
        <v>665</v>
      </c>
      <c r="BM141" s="37" t="s">
        <v>145</v>
      </c>
      <c r="BN141" s="28" t="s">
        <v>747</v>
      </c>
      <c r="BO141" s="69" t="s">
        <v>94</v>
      </c>
      <c r="BP141" s="70" t="s">
        <v>764</v>
      </c>
      <c r="BQ141" s="70" t="s">
        <v>663</v>
      </c>
      <c r="BU141" s="23" t="s">
        <v>97</v>
      </c>
    </row>
    <row r="142" spans="1:73" ht="72" x14ac:dyDescent="0.3">
      <c r="A142" s="65" t="s">
        <v>651</v>
      </c>
      <c r="B142" s="66">
        <v>45832.411111111112</v>
      </c>
      <c r="D142" s="82">
        <v>38370375</v>
      </c>
      <c r="E142" s="86" t="s">
        <v>736</v>
      </c>
      <c r="F142" s="129">
        <v>45765</v>
      </c>
      <c r="BK142" s="82" t="s">
        <v>682</v>
      </c>
      <c r="BM142" s="37" t="s">
        <v>145</v>
      </c>
      <c r="BN142" s="28" t="s">
        <v>765</v>
      </c>
      <c r="BO142" s="69" t="s">
        <v>94</v>
      </c>
      <c r="BP142" s="70" t="s">
        <v>766</v>
      </c>
      <c r="BQ142" s="70" t="s">
        <v>663</v>
      </c>
      <c r="BU142" s="23" t="s">
        <v>110</v>
      </c>
    </row>
    <row r="143" spans="1:73" ht="43.2" x14ac:dyDescent="0.3">
      <c r="A143" s="65" t="s">
        <v>651</v>
      </c>
      <c r="B143" s="66">
        <v>45832.411111111112</v>
      </c>
      <c r="D143" s="82">
        <v>38371845</v>
      </c>
      <c r="E143" s="86" t="s">
        <v>731</v>
      </c>
      <c r="F143" s="129">
        <v>45765</v>
      </c>
      <c r="BK143" s="82" t="s">
        <v>682</v>
      </c>
      <c r="BM143" s="37" t="s">
        <v>177</v>
      </c>
      <c r="BN143" s="69" t="s">
        <v>749</v>
      </c>
      <c r="BO143" s="69" t="s">
        <v>124</v>
      </c>
      <c r="BP143" s="70" t="s">
        <v>663</v>
      </c>
      <c r="BQ143" s="70" t="s">
        <v>767</v>
      </c>
      <c r="BU143" s="23" t="s">
        <v>171</v>
      </c>
    </row>
    <row r="144" spans="1:73" x14ac:dyDescent="0.3">
      <c r="A144" s="65" t="s">
        <v>651</v>
      </c>
      <c r="B144" s="66">
        <v>45832.411111111112</v>
      </c>
      <c r="D144" s="82">
        <v>38369376</v>
      </c>
      <c r="E144" s="86" t="s">
        <v>689</v>
      </c>
      <c r="F144" s="129">
        <v>45765</v>
      </c>
      <c r="BK144" s="82"/>
      <c r="BM144" s="71"/>
      <c r="BN144" s="69"/>
      <c r="BO144" s="69"/>
      <c r="BP144" s="70"/>
      <c r="BQ144" s="70"/>
      <c r="BU144" s="23"/>
    </row>
    <row r="145" spans="1:73" x14ac:dyDescent="0.3">
      <c r="A145" s="65" t="s">
        <v>651</v>
      </c>
      <c r="B145" s="66">
        <v>45833.588194444441</v>
      </c>
      <c r="D145" s="82">
        <v>38385240</v>
      </c>
      <c r="E145" s="86" t="s">
        <v>652</v>
      </c>
      <c r="F145" s="129">
        <v>45765</v>
      </c>
      <c r="BK145" s="82" t="s">
        <v>167</v>
      </c>
      <c r="BM145" s="71" t="s">
        <v>663</v>
      </c>
      <c r="BN145" s="69" t="s">
        <v>663</v>
      </c>
      <c r="BO145" s="69" t="s">
        <v>124</v>
      </c>
      <c r="BP145" s="70" t="s">
        <v>663</v>
      </c>
      <c r="BQ145" s="70" t="s">
        <v>663</v>
      </c>
      <c r="BU145" s="23"/>
    </row>
    <row r="146" spans="1:73" ht="72" x14ac:dyDescent="0.3">
      <c r="A146" s="65" t="s">
        <v>651</v>
      </c>
      <c r="B146" s="66">
        <v>45834.806944444441</v>
      </c>
      <c r="D146" s="82">
        <v>38381849</v>
      </c>
      <c r="E146" s="86" t="s">
        <v>724</v>
      </c>
      <c r="F146" s="129">
        <v>45765</v>
      </c>
      <c r="BK146" s="82" t="s">
        <v>665</v>
      </c>
      <c r="BM146" s="37" t="s">
        <v>145</v>
      </c>
      <c r="BN146" s="28" t="s">
        <v>747</v>
      </c>
      <c r="BO146" s="69" t="s">
        <v>94</v>
      </c>
      <c r="BP146" s="70" t="s">
        <v>768</v>
      </c>
      <c r="BQ146" s="70" t="s">
        <v>769</v>
      </c>
      <c r="BU146" s="23" t="s">
        <v>97</v>
      </c>
    </row>
    <row r="147" spans="1:73" ht="57.6" x14ac:dyDescent="0.3">
      <c r="A147" s="65" t="s">
        <v>651</v>
      </c>
      <c r="B147" s="66">
        <v>45834.800694444442</v>
      </c>
      <c r="D147" s="82">
        <v>38382444</v>
      </c>
      <c r="E147" s="72" t="s">
        <v>738</v>
      </c>
      <c r="F147" s="129">
        <v>45765</v>
      </c>
      <c r="BK147" s="82" t="s">
        <v>660</v>
      </c>
      <c r="BM147" s="19" t="s">
        <v>107</v>
      </c>
      <c r="BN147" s="37" t="s">
        <v>638</v>
      </c>
      <c r="BO147" s="69" t="s">
        <v>124</v>
      </c>
      <c r="BP147" s="70" t="s">
        <v>663</v>
      </c>
      <c r="BQ147" s="70" t="s">
        <v>770</v>
      </c>
      <c r="BU147" s="13" t="s">
        <v>171</v>
      </c>
    </row>
    <row r="148" spans="1:73" ht="43.2" x14ac:dyDescent="0.3">
      <c r="A148" s="65" t="s">
        <v>651</v>
      </c>
      <c r="B148" s="66">
        <v>45834.800694444442</v>
      </c>
      <c r="D148" s="82">
        <v>38385838</v>
      </c>
      <c r="E148" s="72" t="s">
        <v>738</v>
      </c>
      <c r="F148" s="129">
        <v>45765</v>
      </c>
      <c r="BK148" s="82" t="s">
        <v>771</v>
      </c>
      <c r="BM148" s="37" t="s">
        <v>177</v>
      </c>
      <c r="BN148" s="69" t="s">
        <v>749</v>
      </c>
      <c r="BO148" s="69" t="s">
        <v>124</v>
      </c>
      <c r="BP148" s="70" t="s">
        <v>80</v>
      </c>
      <c r="BQ148" s="70" t="s">
        <v>772</v>
      </c>
      <c r="BU148" s="23" t="s">
        <v>171</v>
      </c>
    </row>
    <row r="149" spans="1:73" x14ac:dyDescent="0.3">
      <c r="A149" s="65" t="s">
        <v>651</v>
      </c>
      <c r="B149" s="66">
        <v>45835</v>
      </c>
      <c r="D149" s="82">
        <v>38322306</v>
      </c>
      <c r="E149" s="72" t="s">
        <v>736</v>
      </c>
      <c r="F149" s="129">
        <v>45765</v>
      </c>
      <c r="BK149" s="82"/>
      <c r="BM149" s="87"/>
      <c r="BN149" s="70"/>
      <c r="BO149" s="69"/>
      <c r="BP149" s="70"/>
      <c r="BQ149" s="70"/>
      <c r="BU149" s="23"/>
    </row>
    <row r="150" spans="1:73" x14ac:dyDescent="0.3">
      <c r="A150" s="65" t="s">
        <v>651</v>
      </c>
      <c r="B150" s="66">
        <v>45838</v>
      </c>
      <c r="D150" s="82">
        <v>30764579</v>
      </c>
      <c r="E150" s="72" t="s">
        <v>773</v>
      </c>
      <c r="F150" s="129">
        <v>45765</v>
      </c>
      <c r="BK150" s="82" t="s">
        <v>682</v>
      </c>
      <c r="BM150" s="19" t="s">
        <v>107</v>
      </c>
      <c r="BN150" s="37" t="s">
        <v>638</v>
      </c>
      <c r="BO150" s="69" t="s">
        <v>124</v>
      </c>
      <c r="BP150" s="70"/>
      <c r="BQ150" s="70" t="s">
        <v>774</v>
      </c>
      <c r="BU150" s="13" t="s">
        <v>171</v>
      </c>
    </row>
    <row r="151" spans="1:73" x14ac:dyDescent="0.3">
      <c r="A151" s="65" t="s">
        <v>651</v>
      </c>
      <c r="B151" s="66">
        <v>45838</v>
      </c>
      <c r="D151" s="82">
        <v>30766519</v>
      </c>
      <c r="E151" s="72" t="s">
        <v>775</v>
      </c>
      <c r="F151" s="129">
        <v>45765</v>
      </c>
      <c r="BK151" s="82"/>
      <c r="BQ151" s="70"/>
      <c r="BU151" s="23"/>
    </row>
    <row r="152" spans="1:73" ht="27.6" x14ac:dyDescent="0.3">
      <c r="A152" s="65" t="s">
        <v>776</v>
      </c>
      <c r="D152" s="89">
        <v>30695710</v>
      </c>
      <c r="E152" s="90" t="s">
        <v>777</v>
      </c>
      <c r="F152" s="129">
        <v>45765</v>
      </c>
      <c r="BL152" s="91" t="s">
        <v>778</v>
      </c>
      <c r="BM152" s="92"/>
      <c r="BN152" s="77"/>
      <c r="BO152" s="69"/>
      <c r="BP152" s="70"/>
      <c r="BU152" s="23"/>
    </row>
    <row r="153" spans="1:73" ht="55.2" x14ac:dyDescent="0.3">
      <c r="A153" s="65" t="s">
        <v>776</v>
      </c>
      <c r="D153" s="89">
        <v>30695938</v>
      </c>
      <c r="E153" s="90" t="s">
        <v>779</v>
      </c>
      <c r="F153" s="129">
        <v>45765</v>
      </c>
      <c r="BL153" s="91" t="s">
        <v>780</v>
      </c>
      <c r="BM153" s="19" t="s">
        <v>107</v>
      </c>
      <c r="BN153" s="92" t="s">
        <v>123</v>
      </c>
      <c r="BU153" s="23" t="s">
        <v>97</v>
      </c>
    </row>
    <row r="154" spans="1:73" ht="41.4" x14ac:dyDescent="0.3">
      <c r="A154" s="65" t="s">
        <v>776</v>
      </c>
      <c r="D154" s="89">
        <v>30697397</v>
      </c>
      <c r="E154" s="90" t="s">
        <v>781</v>
      </c>
      <c r="F154" s="129">
        <v>45765</v>
      </c>
      <c r="BL154" s="91" t="s">
        <v>782</v>
      </c>
      <c r="BM154" s="19" t="s">
        <v>107</v>
      </c>
      <c r="BN154" s="92" t="s">
        <v>502</v>
      </c>
      <c r="BU154" s="23" t="s">
        <v>110</v>
      </c>
    </row>
    <row r="155" spans="1:73" ht="55.2" x14ac:dyDescent="0.3">
      <c r="A155" s="65" t="s">
        <v>776</v>
      </c>
      <c r="D155" s="89">
        <v>30701706</v>
      </c>
      <c r="E155" s="90" t="s">
        <v>783</v>
      </c>
      <c r="F155" s="129">
        <v>45765</v>
      </c>
      <c r="BL155" s="91" t="s">
        <v>784</v>
      </c>
      <c r="BM155" s="19" t="s">
        <v>107</v>
      </c>
      <c r="BN155" s="37" t="s">
        <v>502</v>
      </c>
      <c r="BU155" s="23" t="s">
        <v>110</v>
      </c>
    </row>
    <row r="156" spans="1:73" ht="41.4" x14ac:dyDescent="0.3">
      <c r="A156" s="65" t="s">
        <v>776</v>
      </c>
      <c r="D156" s="89">
        <v>30700825</v>
      </c>
      <c r="E156" s="90" t="s">
        <v>785</v>
      </c>
      <c r="F156" s="129">
        <v>45765</v>
      </c>
      <c r="BL156" s="91" t="s">
        <v>786</v>
      </c>
      <c r="BM156" s="19" t="s">
        <v>107</v>
      </c>
      <c r="BN156" s="92" t="s">
        <v>153</v>
      </c>
      <c r="BU156" s="23" t="s">
        <v>110</v>
      </c>
    </row>
    <row r="157" spans="1:73" x14ac:dyDescent="0.3">
      <c r="A157" s="65" t="s">
        <v>776</v>
      </c>
      <c r="D157" s="89">
        <v>30698224</v>
      </c>
      <c r="E157" s="90" t="s">
        <v>787</v>
      </c>
      <c r="F157" s="129">
        <v>45765</v>
      </c>
      <c r="BL157" s="91"/>
      <c r="BM157" s="92"/>
      <c r="BN157" s="77"/>
      <c r="BU157" s="23"/>
    </row>
    <row r="158" spans="1:73" ht="55.2" x14ac:dyDescent="0.3">
      <c r="A158" s="65" t="s">
        <v>776</v>
      </c>
      <c r="D158" s="89">
        <v>30704590</v>
      </c>
      <c r="E158" s="90" t="s">
        <v>788</v>
      </c>
      <c r="F158" s="129">
        <v>45765</v>
      </c>
      <c r="BL158" s="91" t="s">
        <v>789</v>
      </c>
      <c r="BM158" s="19" t="s">
        <v>107</v>
      </c>
      <c r="BN158" s="37" t="s">
        <v>291</v>
      </c>
      <c r="BU158" s="13" t="s">
        <v>171</v>
      </c>
    </row>
    <row r="159" spans="1:73" ht="41.4" x14ac:dyDescent="0.3">
      <c r="A159" s="65" t="s">
        <v>776</v>
      </c>
      <c r="D159" s="89">
        <v>30704757</v>
      </c>
      <c r="E159" s="90" t="s">
        <v>790</v>
      </c>
      <c r="F159" s="129">
        <v>45765</v>
      </c>
      <c r="BL159" s="91" t="s">
        <v>791</v>
      </c>
      <c r="BM159" s="19" t="s">
        <v>107</v>
      </c>
      <c r="BN159" s="92" t="s">
        <v>123</v>
      </c>
      <c r="BU159" s="23" t="s">
        <v>97</v>
      </c>
    </row>
    <row r="160" spans="1:73" ht="55.2" x14ac:dyDescent="0.3">
      <c r="A160" s="65" t="s">
        <v>776</v>
      </c>
      <c r="D160" s="89">
        <v>30707657</v>
      </c>
      <c r="E160" s="90" t="s">
        <v>792</v>
      </c>
      <c r="F160" s="129">
        <v>45765</v>
      </c>
      <c r="BL160" s="91" t="s">
        <v>793</v>
      </c>
      <c r="BM160" s="92" t="s">
        <v>145</v>
      </c>
      <c r="BN160" s="77" t="s">
        <v>318</v>
      </c>
      <c r="BU160" s="23" t="s">
        <v>110</v>
      </c>
    </row>
    <row r="161" spans="1:73" x14ac:dyDescent="0.3">
      <c r="A161" s="65" t="s">
        <v>776</v>
      </c>
      <c r="D161" s="89">
        <v>30708911</v>
      </c>
      <c r="E161" s="90" t="s">
        <v>794</v>
      </c>
      <c r="F161" s="129">
        <v>45765</v>
      </c>
      <c r="BL161" s="91"/>
      <c r="BM161" s="92"/>
      <c r="BN161" s="77"/>
      <c r="BU161" s="23"/>
    </row>
    <row r="162" spans="1:73" ht="55.2" x14ac:dyDescent="0.3">
      <c r="A162" s="65" t="s">
        <v>776</v>
      </c>
      <c r="D162" s="89">
        <v>30709748</v>
      </c>
      <c r="E162" s="90" t="s">
        <v>795</v>
      </c>
      <c r="F162" s="129">
        <v>45765</v>
      </c>
      <c r="BL162" s="91" t="s">
        <v>796</v>
      </c>
      <c r="BM162" s="92" t="s">
        <v>145</v>
      </c>
      <c r="BN162" s="93" t="s">
        <v>797</v>
      </c>
      <c r="BU162" s="23" t="s">
        <v>97</v>
      </c>
    </row>
    <row r="163" spans="1:73" x14ac:dyDescent="0.3">
      <c r="A163" s="65" t="s">
        <v>776</v>
      </c>
      <c r="D163" s="89">
        <v>30710097</v>
      </c>
      <c r="E163" s="90" t="s">
        <v>794</v>
      </c>
      <c r="F163" s="129">
        <v>45765</v>
      </c>
      <c r="BL163" s="91"/>
      <c r="BM163" s="92"/>
      <c r="BN163" s="77"/>
      <c r="BU163" s="23"/>
    </row>
    <row r="164" spans="1:73" x14ac:dyDescent="0.3">
      <c r="A164" s="65" t="s">
        <v>776</v>
      </c>
      <c r="D164" s="89">
        <v>30710119</v>
      </c>
      <c r="E164" s="90" t="s">
        <v>794</v>
      </c>
      <c r="F164" s="129">
        <v>45765</v>
      </c>
      <c r="BL164" s="91"/>
      <c r="BM164" s="92"/>
      <c r="BN164" s="77"/>
      <c r="BU164" s="23"/>
    </row>
    <row r="165" spans="1:73" ht="27.6" x14ac:dyDescent="0.3">
      <c r="A165" s="65" t="s">
        <v>776</v>
      </c>
      <c r="D165" s="89">
        <v>30710534</v>
      </c>
      <c r="E165" s="90" t="s">
        <v>798</v>
      </c>
      <c r="F165" s="129">
        <v>45765</v>
      </c>
      <c r="BL165" s="91" t="s">
        <v>799</v>
      </c>
      <c r="BM165" s="19" t="s">
        <v>107</v>
      </c>
      <c r="BN165" s="92" t="s">
        <v>291</v>
      </c>
      <c r="BU165" s="13" t="s">
        <v>171</v>
      </c>
    </row>
    <row r="166" spans="1:73" ht="27.6" x14ac:dyDescent="0.3">
      <c r="A166" s="65" t="s">
        <v>776</v>
      </c>
      <c r="D166" s="89">
        <v>30708377</v>
      </c>
      <c r="E166" s="90" t="s">
        <v>800</v>
      </c>
      <c r="F166" s="129">
        <v>45765</v>
      </c>
      <c r="BL166" s="91" t="s">
        <v>801</v>
      </c>
      <c r="BM166" s="19" t="s">
        <v>107</v>
      </c>
      <c r="BN166" s="92" t="s">
        <v>502</v>
      </c>
      <c r="BU166" s="23" t="s">
        <v>110</v>
      </c>
    </row>
    <row r="167" spans="1:73" ht="41.4" x14ac:dyDescent="0.3">
      <c r="A167" s="65" t="s">
        <v>776</v>
      </c>
      <c r="D167" s="89">
        <v>30709669</v>
      </c>
      <c r="E167" s="90" t="s">
        <v>777</v>
      </c>
      <c r="F167" s="129">
        <v>45765</v>
      </c>
      <c r="BL167" s="91" t="s">
        <v>802</v>
      </c>
      <c r="BM167" s="19" t="s">
        <v>107</v>
      </c>
      <c r="BN167" s="92" t="s">
        <v>638</v>
      </c>
      <c r="BU167" s="13" t="s">
        <v>171</v>
      </c>
    </row>
    <row r="168" spans="1:73" ht="27.6" x14ac:dyDescent="0.3">
      <c r="A168" s="65" t="s">
        <v>776</v>
      </c>
      <c r="D168" s="89">
        <v>30712223</v>
      </c>
      <c r="E168" s="90" t="s">
        <v>779</v>
      </c>
      <c r="F168" s="129">
        <v>45765</v>
      </c>
      <c r="BL168" s="91" t="s">
        <v>803</v>
      </c>
      <c r="BM168" s="19" t="s">
        <v>107</v>
      </c>
      <c r="BN168" s="17" t="s">
        <v>220</v>
      </c>
      <c r="BU168" s="23" t="s">
        <v>110</v>
      </c>
    </row>
    <row r="169" spans="1:73" ht="55.2" x14ac:dyDescent="0.3">
      <c r="A169" s="65" t="s">
        <v>776</v>
      </c>
      <c r="D169" s="89">
        <v>30712397</v>
      </c>
      <c r="E169" s="90" t="s">
        <v>788</v>
      </c>
      <c r="F169" s="129">
        <v>45765</v>
      </c>
      <c r="BL169" s="91" t="s">
        <v>804</v>
      </c>
      <c r="BM169" s="19" t="s">
        <v>107</v>
      </c>
      <c r="BN169" s="92" t="s">
        <v>291</v>
      </c>
      <c r="BU169" s="13" t="s">
        <v>171</v>
      </c>
    </row>
    <row r="170" spans="1:73" ht="27.6" x14ac:dyDescent="0.3">
      <c r="A170" s="65" t="s">
        <v>776</v>
      </c>
      <c r="D170" s="89">
        <v>30712890</v>
      </c>
      <c r="E170" s="90" t="s">
        <v>800</v>
      </c>
      <c r="F170" s="129">
        <v>45765</v>
      </c>
      <c r="BL170" s="91" t="s">
        <v>805</v>
      </c>
      <c r="BM170" s="26" t="s">
        <v>407</v>
      </c>
      <c r="BN170" s="77" t="s">
        <v>722</v>
      </c>
      <c r="BU170" s="23" t="s">
        <v>97</v>
      </c>
    </row>
    <row r="171" spans="1:73" ht="27.6" x14ac:dyDescent="0.3">
      <c r="A171" s="65" t="s">
        <v>776</v>
      </c>
      <c r="D171" s="89">
        <v>30713382</v>
      </c>
      <c r="E171" s="90" t="s">
        <v>806</v>
      </c>
      <c r="F171" s="129">
        <v>45765</v>
      </c>
      <c r="BL171" s="91" t="s">
        <v>807</v>
      </c>
      <c r="BM171" s="19" t="s">
        <v>107</v>
      </c>
      <c r="BN171" s="92" t="s">
        <v>808</v>
      </c>
      <c r="BU171" s="23"/>
    </row>
    <row r="172" spans="1:73" ht="27.6" x14ac:dyDescent="0.3">
      <c r="A172" s="65" t="s">
        <v>776</v>
      </c>
      <c r="D172" s="89">
        <v>30713734</v>
      </c>
      <c r="E172" s="90" t="s">
        <v>800</v>
      </c>
      <c r="F172" s="129">
        <v>45765</v>
      </c>
      <c r="BL172" s="91" t="s">
        <v>809</v>
      </c>
      <c r="BM172" s="92"/>
      <c r="BN172" s="77"/>
      <c r="BU172" s="23"/>
    </row>
    <row r="173" spans="1:73" x14ac:dyDescent="0.3">
      <c r="A173" s="65" t="s">
        <v>776</v>
      </c>
      <c r="D173" s="89">
        <v>30713882</v>
      </c>
      <c r="E173" s="90" t="s">
        <v>790</v>
      </c>
      <c r="F173" s="129">
        <v>45765</v>
      </c>
      <c r="BL173" s="91" t="s">
        <v>810</v>
      </c>
      <c r="BM173" s="92"/>
      <c r="BN173" s="77"/>
      <c r="BU173" s="23"/>
    </row>
    <row r="174" spans="1:73" x14ac:dyDescent="0.3">
      <c r="A174" s="65" t="s">
        <v>776</v>
      </c>
      <c r="D174" s="89">
        <v>30711660</v>
      </c>
      <c r="E174" s="90" t="s">
        <v>811</v>
      </c>
      <c r="F174" s="129">
        <v>45765</v>
      </c>
      <c r="BL174" s="91" t="s">
        <v>812</v>
      </c>
      <c r="BM174" s="19" t="s">
        <v>107</v>
      </c>
      <c r="BN174" s="92" t="s">
        <v>291</v>
      </c>
      <c r="BU174" s="13" t="s">
        <v>171</v>
      </c>
    </row>
    <row r="175" spans="1:73" ht="55.2" x14ac:dyDescent="0.3">
      <c r="A175" s="65" t="s">
        <v>776</v>
      </c>
      <c r="D175" s="89">
        <v>30711649</v>
      </c>
      <c r="E175" s="90" t="s">
        <v>813</v>
      </c>
      <c r="F175" s="129">
        <v>45765</v>
      </c>
      <c r="BL175" s="91" t="s">
        <v>814</v>
      </c>
      <c r="BM175" s="92" t="s">
        <v>145</v>
      </c>
      <c r="BN175" s="77" t="s">
        <v>747</v>
      </c>
      <c r="BU175" s="23" t="s">
        <v>97</v>
      </c>
    </row>
    <row r="176" spans="1:73" x14ac:dyDescent="0.3">
      <c r="A176" s="65" t="s">
        <v>776</v>
      </c>
      <c r="D176" s="89">
        <v>30715797</v>
      </c>
      <c r="E176" s="90" t="s">
        <v>815</v>
      </c>
      <c r="F176" s="129">
        <v>45765</v>
      </c>
      <c r="BL176" s="91"/>
      <c r="BM176" s="92"/>
      <c r="BN176" s="77"/>
      <c r="BU176" s="23"/>
    </row>
    <row r="177" spans="1:73" ht="41.4" x14ac:dyDescent="0.3">
      <c r="A177" s="65" t="s">
        <v>776</v>
      </c>
      <c r="D177" s="89">
        <v>30718854</v>
      </c>
      <c r="E177" s="90" t="s">
        <v>816</v>
      </c>
      <c r="F177" s="129">
        <v>45765</v>
      </c>
      <c r="BL177" s="91" t="s">
        <v>817</v>
      </c>
      <c r="BM177" s="19" t="s">
        <v>177</v>
      </c>
      <c r="BN177" s="77" t="s">
        <v>818</v>
      </c>
      <c r="BU177" s="13" t="s">
        <v>171</v>
      </c>
    </row>
    <row r="178" spans="1:73" ht="55.2" x14ac:dyDescent="0.3">
      <c r="A178" s="65" t="s">
        <v>776</v>
      </c>
      <c r="D178" s="89">
        <v>30718860</v>
      </c>
      <c r="E178" s="90" t="s">
        <v>800</v>
      </c>
      <c r="F178" s="129">
        <v>45765</v>
      </c>
      <c r="BL178" s="91" t="s">
        <v>819</v>
      </c>
      <c r="BM178" s="19" t="s">
        <v>177</v>
      </c>
      <c r="BN178" s="28" t="s">
        <v>715</v>
      </c>
      <c r="BU178" s="13" t="s">
        <v>171</v>
      </c>
    </row>
    <row r="179" spans="1:73" ht="41.4" x14ac:dyDescent="0.3">
      <c r="A179" s="65" t="s">
        <v>776</v>
      </c>
      <c r="D179" s="89">
        <v>30720146</v>
      </c>
      <c r="E179" s="90" t="s">
        <v>820</v>
      </c>
      <c r="F179" s="129">
        <v>45765</v>
      </c>
      <c r="BL179" s="91" t="s">
        <v>821</v>
      </c>
      <c r="BM179" s="26" t="s">
        <v>107</v>
      </c>
      <c r="BN179" s="28" t="s">
        <v>198</v>
      </c>
      <c r="BU179" s="23" t="s">
        <v>110</v>
      </c>
    </row>
    <row r="180" spans="1:73" ht="55.2" x14ac:dyDescent="0.3">
      <c r="A180" s="65" t="s">
        <v>776</v>
      </c>
      <c r="D180" s="89">
        <v>30720314</v>
      </c>
      <c r="E180" s="90" t="s">
        <v>800</v>
      </c>
      <c r="F180" s="129">
        <v>45765</v>
      </c>
      <c r="BL180" s="91" t="s">
        <v>822</v>
      </c>
      <c r="BM180" s="26" t="s">
        <v>407</v>
      </c>
      <c r="BN180" s="77" t="s">
        <v>823</v>
      </c>
      <c r="BU180" s="23" t="s">
        <v>97</v>
      </c>
    </row>
    <row r="181" spans="1:73" ht="55.2" x14ac:dyDescent="0.3">
      <c r="A181" s="65" t="s">
        <v>776</v>
      </c>
      <c r="D181" s="89">
        <v>30721462</v>
      </c>
      <c r="E181" s="90" t="s">
        <v>824</v>
      </c>
      <c r="F181" s="129">
        <v>45765</v>
      </c>
      <c r="BL181" s="91" t="s">
        <v>825</v>
      </c>
      <c r="BM181" s="19" t="s">
        <v>107</v>
      </c>
      <c r="BN181" s="92" t="s">
        <v>123</v>
      </c>
      <c r="BU181" s="23" t="s">
        <v>97</v>
      </c>
    </row>
    <row r="182" spans="1:73" ht="69" x14ac:dyDescent="0.3">
      <c r="A182" s="65" t="s">
        <v>776</v>
      </c>
      <c r="D182" s="89">
        <v>30723245</v>
      </c>
      <c r="E182" s="90" t="s">
        <v>777</v>
      </c>
      <c r="F182" s="129">
        <v>45765</v>
      </c>
      <c r="BL182" s="91" t="s">
        <v>826</v>
      </c>
      <c r="BM182" s="92" t="s">
        <v>145</v>
      </c>
      <c r="BN182" s="77" t="s">
        <v>827</v>
      </c>
      <c r="BU182" s="23" t="s">
        <v>97</v>
      </c>
    </row>
    <row r="183" spans="1:73" x14ac:dyDescent="0.3">
      <c r="A183" s="65" t="s">
        <v>776</v>
      </c>
      <c r="D183" s="89">
        <v>30726579</v>
      </c>
      <c r="E183" s="90" t="s">
        <v>815</v>
      </c>
      <c r="F183" s="129">
        <v>45765</v>
      </c>
      <c r="BL183" s="91"/>
      <c r="BM183" s="92"/>
      <c r="BN183" s="77"/>
      <c r="BU183" s="23"/>
    </row>
    <row r="184" spans="1:73" ht="55.2" x14ac:dyDescent="0.3">
      <c r="A184" s="65" t="s">
        <v>776</v>
      </c>
      <c r="D184" s="89">
        <v>30726667</v>
      </c>
      <c r="E184" s="90" t="s">
        <v>806</v>
      </c>
      <c r="F184" s="129">
        <v>45765</v>
      </c>
      <c r="BL184" s="91" t="s">
        <v>828</v>
      </c>
      <c r="BM184" s="92"/>
      <c r="BN184" s="77"/>
      <c r="BU184" s="23"/>
    </row>
    <row r="185" spans="1:73" ht="27.6" x14ac:dyDescent="0.3">
      <c r="A185" s="65" t="s">
        <v>776</v>
      </c>
      <c r="D185" s="89">
        <v>30726953</v>
      </c>
      <c r="E185" s="90" t="s">
        <v>829</v>
      </c>
      <c r="F185" s="129">
        <v>45765</v>
      </c>
      <c r="BL185" s="91" t="s">
        <v>830</v>
      </c>
      <c r="BM185" s="92" t="s">
        <v>145</v>
      </c>
      <c r="BN185" s="31" t="s">
        <v>475</v>
      </c>
      <c r="BU185" s="23" t="s">
        <v>97</v>
      </c>
    </row>
    <row r="186" spans="1:73" ht="27.6" x14ac:dyDescent="0.3">
      <c r="A186" s="65" t="s">
        <v>776</v>
      </c>
      <c r="D186" s="89">
        <v>30728855</v>
      </c>
      <c r="E186" s="90" t="s">
        <v>813</v>
      </c>
      <c r="F186" s="129">
        <v>45765</v>
      </c>
      <c r="BL186" s="91" t="s">
        <v>831</v>
      </c>
      <c r="BM186" s="19" t="s">
        <v>107</v>
      </c>
      <c r="BN186" s="92" t="s">
        <v>198</v>
      </c>
      <c r="BU186" s="23" t="s">
        <v>110</v>
      </c>
    </row>
    <row r="187" spans="1:73" ht="41.4" x14ac:dyDescent="0.3">
      <c r="A187" s="65" t="s">
        <v>776</v>
      </c>
      <c r="D187" s="89">
        <v>30729596</v>
      </c>
      <c r="E187" s="90" t="s">
        <v>832</v>
      </c>
      <c r="F187" s="129">
        <v>45765</v>
      </c>
      <c r="BL187" s="91" t="s">
        <v>833</v>
      </c>
      <c r="BM187" s="19" t="s">
        <v>107</v>
      </c>
      <c r="BN187" s="92" t="s">
        <v>198</v>
      </c>
      <c r="BU187" s="23" t="s">
        <v>110</v>
      </c>
    </row>
    <row r="188" spans="1:73" x14ac:dyDescent="0.3">
      <c r="A188" s="65" t="s">
        <v>776</v>
      </c>
      <c r="D188" s="89">
        <v>30729797</v>
      </c>
      <c r="E188" s="90" t="s">
        <v>794</v>
      </c>
      <c r="F188" s="129">
        <v>45765</v>
      </c>
      <c r="BL188" s="91"/>
      <c r="BM188" s="92"/>
      <c r="BN188" s="77"/>
      <c r="BU188" s="23"/>
    </row>
    <row r="189" spans="1:73" x14ac:dyDescent="0.3">
      <c r="A189" s="65" t="s">
        <v>776</v>
      </c>
      <c r="D189" s="89">
        <v>30728414</v>
      </c>
      <c r="E189" s="90" t="s">
        <v>834</v>
      </c>
      <c r="F189" s="129">
        <v>45765</v>
      </c>
      <c r="BL189" s="94" t="s">
        <v>835</v>
      </c>
      <c r="BM189" s="92"/>
      <c r="BN189" s="77"/>
      <c r="BU189" s="23"/>
    </row>
    <row r="190" spans="1:73" x14ac:dyDescent="0.3">
      <c r="A190" s="65" t="s">
        <v>776</v>
      </c>
      <c r="D190" s="89">
        <v>30729305</v>
      </c>
      <c r="E190" s="90" t="s">
        <v>787</v>
      </c>
      <c r="F190" s="129">
        <v>45765</v>
      </c>
      <c r="BL190" s="91"/>
      <c r="BM190" s="92"/>
      <c r="BN190" s="77"/>
      <c r="BU190" s="23"/>
    </row>
    <row r="191" spans="1:73" ht="55.2" x14ac:dyDescent="0.3">
      <c r="A191" s="65" t="s">
        <v>776</v>
      </c>
      <c r="D191" s="89">
        <v>30732194</v>
      </c>
      <c r="E191" s="90" t="s">
        <v>836</v>
      </c>
      <c r="F191" s="129">
        <v>45765</v>
      </c>
      <c r="BL191" s="91" t="s">
        <v>837</v>
      </c>
      <c r="BM191" s="92" t="s">
        <v>145</v>
      </c>
      <c r="BN191" s="77" t="s">
        <v>765</v>
      </c>
      <c r="BU191" s="23" t="s">
        <v>110</v>
      </c>
    </row>
    <row r="192" spans="1:73" ht="96.6" x14ac:dyDescent="0.3">
      <c r="A192" s="65" t="s">
        <v>776</v>
      </c>
      <c r="D192" s="89">
        <v>30732214</v>
      </c>
      <c r="E192" s="90" t="s">
        <v>781</v>
      </c>
      <c r="F192" s="129">
        <v>45765</v>
      </c>
      <c r="BL192" s="91" t="s">
        <v>838</v>
      </c>
      <c r="BM192" s="19" t="s">
        <v>107</v>
      </c>
      <c r="BN192" s="92" t="s">
        <v>123</v>
      </c>
      <c r="BU192" s="23" t="s">
        <v>97</v>
      </c>
    </row>
    <row r="193" spans="1:73" ht="41.4" x14ac:dyDescent="0.3">
      <c r="A193" s="65" t="s">
        <v>776</v>
      </c>
      <c r="D193" s="95">
        <v>30734448</v>
      </c>
      <c r="E193" s="96" t="s">
        <v>820</v>
      </c>
      <c r="F193" s="129">
        <v>45765</v>
      </c>
      <c r="BL193" s="91" t="s">
        <v>839</v>
      </c>
      <c r="BM193" s="19" t="s">
        <v>107</v>
      </c>
      <c r="BN193" s="92" t="s">
        <v>198</v>
      </c>
      <c r="BU193" s="23" t="s">
        <v>110</v>
      </c>
    </row>
    <row r="194" spans="1:73" x14ac:dyDescent="0.3">
      <c r="A194" s="65" t="s">
        <v>776</v>
      </c>
      <c r="D194" s="95">
        <v>30734679</v>
      </c>
      <c r="E194" s="96" t="s">
        <v>787</v>
      </c>
      <c r="F194" s="129">
        <v>45765</v>
      </c>
      <c r="BL194" s="91"/>
      <c r="BM194" s="97"/>
      <c r="BN194" s="91"/>
      <c r="BU194" s="23"/>
    </row>
    <row r="195" spans="1:73" ht="41.4" x14ac:dyDescent="0.3">
      <c r="A195" s="65" t="s">
        <v>776</v>
      </c>
      <c r="D195" s="95">
        <v>30735490</v>
      </c>
      <c r="E195" s="96" t="s">
        <v>836</v>
      </c>
      <c r="F195" s="129">
        <v>45765</v>
      </c>
      <c r="BL195" s="91" t="s">
        <v>840</v>
      </c>
      <c r="BM195" s="97" t="s">
        <v>92</v>
      </c>
      <c r="BN195" s="91" t="s">
        <v>419</v>
      </c>
      <c r="BU195" s="23" t="s">
        <v>97</v>
      </c>
    </row>
    <row r="196" spans="1:73" ht="27.6" x14ac:dyDescent="0.3">
      <c r="A196" s="65" t="s">
        <v>776</v>
      </c>
      <c r="D196" s="95">
        <v>30736471</v>
      </c>
      <c r="E196" s="96" t="s">
        <v>836</v>
      </c>
      <c r="F196" s="129">
        <v>45765</v>
      </c>
      <c r="BL196" s="91" t="s">
        <v>841</v>
      </c>
      <c r="BM196" s="19" t="s">
        <v>107</v>
      </c>
      <c r="BN196" s="97" t="s">
        <v>123</v>
      </c>
      <c r="BU196" s="23" t="s">
        <v>97</v>
      </c>
    </row>
    <row r="197" spans="1:73" ht="55.2" x14ac:dyDescent="0.3">
      <c r="A197" s="65" t="s">
        <v>776</v>
      </c>
      <c r="D197" s="95">
        <v>30740213</v>
      </c>
      <c r="E197" s="96" t="s">
        <v>842</v>
      </c>
      <c r="F197" s="129">
        <v>45765</v>
      </c>
      <c r="BL197" s="91" t="s">
        <v>843</v>
      </c>
      <c r="BM197" s="19" t="s">
        <v>107</v>
      </c>
      <c r="BN197" s="97" t="s">
        <v>263</v>
      </c>
      <c r="BU197" s="13" t="s">
        <v>171</v>
      </c>
    </row>
    <row r="198" spans="1:73" ht="41.4" x14ac:dyDescent="0.3">
      <c r="A198" s="65" t="s">
        <v>776</v>
      </c>
      <c r="D198" s="95">
        <v>30743518</v>
      </c>
      <c r="E198" s="96" t="s">
        <v>844</v>
      </c>
      <c r="F198" s="129">
        <v>45765</v>
      </c>
      <c r="BL198" s="91" t="s">
        <v>845</v>
      </c>
      <c r="BM198" s="97" t="s">
        <v>145</v>
      </c>
      <c r="BN198" s="91" t="s">
        <v>846</v>
      </c>
      <c r="BU198" s="23" t="s">
        <v>97</v>
      </c>
    </row>
    <row r="199" spans="1:73" x14ac:dyDescent="0.3">
      <c r="A199" s="65" t="s">
        <v>776</v>
      </c>
      <c r="D199" s="95">
        <v>30743934</v>
      </c>
      <c r="E199" s="96" t="s">
        <v>847</v>
      </c>
      <c r="F199" s="129">
        <v>45765</v>
      </c>
      <c r="BL199" s="91" t="s">
        <v>848</v>
      </c>
      <c r="BM199" s="97"/>
      <c r="BN199" s="91"/>
      <c r="BU199" s="23"/>
    </row>
    <row r="200" spans="1:73" ht="55.2" x14ac:dyDescent="0.3">
      <c r="A200" s="65" t="s">
        <v>776</v>
      </c>
      <c r="D200" s="95">
        <v>30744265</v>
      </c>
      <c r="E200" s="96" t="s">
        <v>849</v>
      </c>
      <c r="F200" s="129">
        <v>45765</v>
      </c>
      <c r="BL200" s="91" t="s">
        <v>850</v>
      </c>
      <c r="BM200" s="97"/>
      <c r="BN200" s="91"/>
      <c r="BU200" s="23"/>
    </row>
    <row r="201" spans="1:73" ht="69" x14ac:dyDescent="0.3">
      <c r="A201" s="65" t="s">
        <v>776</v>
      </c>
      <c r="D201" s="95">
        <v>30744508</v>
      </c>
      <c r="E201" s="96" t="s">
        <v>832</v>
      </c>
      <c r="F201" s="129">
        <v>45765</v>
      </c>
      <c r="BL201" s="91" t="s">
        <v>851</v>
      </c>
      <c r="BM201" s="19" t="s">
        <v>107</v>
      </c>
      <c r="BN201" s="97" t="s">
        <v>198</v>
      </c>
      <c r="BU201" s="23" t="s">
        <v>110</v>
      </c>
    </row>
    <row r="202" spans="1:73" x14ac:dyDescent="0.3">
      <c r="A202" s="65" t="s">
        <v>776</v>
      </c>
      <c r="D202" s="95">
        <v>30739142</v>
      </c>
      <c r="E202" s="96" t="s">
        <v>806</v>
      </c>
      <c r="F202" s="129">
        <v>45765</v>
      </c>
      <c r="BL202" s="91" t="s">
        <v>852</v>
      </c>
      <c r="BM202" s="97"/>
      <c r="BN202" s="91"/>
      <c r="BU202" s="23"/>
    </row>
    <row r="203" spans="1:73" ht="27.6" x14ac:dyDescent="0.3">
      <c r="A203" s="65" t="s">
        <v>776</v>
      </c>
      <c r="D203" s="95">
        <v>30747695</v>
      </c>
      <c r="E203" s="96" t="s">
        <v>800</v>
      </c>
      <c r="F203" s="129">
        <v>45765</v>
      </c>
      <c r="BL203" s="91" t="s">
        <v>853</v>
      </c>
      <c r="BM203" s="97" t="s">
        <v>145</v>
      </c>
      <c r="BN203" s="91" t="s">
        <v>571</v>
      </c>
      <c r="BU203" s="23" t="s">
        <v>97</v>
      </c>
    </row>
    <row r="204" spans="1:73" x14ac:dyDescent="0.3">
      <c r="A204" s="65" t="s">
        <v>776</v>
      </c>
      <c r="D204" s="95">
        <v>30745643</v>
      </c>
      <c r="E204" s="96" t="s">
        <v>783</v>
      </c>
      <c r="F204" s="129">
        <v>45765</v>
      </c>
      <c r="BL204" s="91" t="s">
        <v>854</v>
      </c>
      <c r="BM204" s="97"/>
      <c r="BN204" s="91"/>
      <c r="BU204" s="23"/>
    </row>
    <row r="205" spans="1:73" x14ac:dyDescent="0.3">
      <c r="A205" s="65" t="s">
        <v>776</v>
      </c>
      <c r="D205" s="98">
        <v>30746449</v>
      </c>
      <c r="E205" s="99" t="s">
        <v>855</v>
      </c>
      <c r="F205" s="129">
        <v>45765</v>
      </c>
      <c r="BL205" s="100" t="s">
        <v>856</v>
      </c>
      <c r="BM205" s="101"/>
      <c r="BN205" s="100"/>
      <c r="BU205" s="23"/>
    </row>
    <row r="206" spans="1:73" ht="27.6" x14ac:dyDescent="0.3">
      <c r="A206" s="65" t="s">
        <v>776</v>
      </c>
      <c r="D206" s="95">
        <v>30749919</v>
      </c>
      <c r="E206" s="96" t="s">
        <v>844</v>
      </c>
      <c r="F206" s="129">
        <v>45765</v>
      </c>
      <c r="BL206" s="91" t="s">
        <v>857</v>
      </c>
      <c r="BM206" s="26" t="s">
        <v>107</v>
      </c>
      <c r="BN206" s="91" t="s">
        <v>858</v>
      </c>
      <c r="BU206" s="13" t="s">
        <v>171</v>
      </c>
    </row>
    <row r="207" spans="1:73" ht="55.2" x14ac:dyDescent="0.3">
      <c r="A207" s="65" t="s">
        <v>776</v>
      </c>
      <c r="D207" s="102">
        <v>30750024</v>
      </c>
      <c r="E207" s="103" t="s">
        <v>806</v>
      </c>
      <c r="F207" s="129">
        <v>45765</v>
      </c>
      <c r="BL207" s="104" t="s">
        <v>859</v>
      </c>
      <c r="BM207" s="105"/>
      <c r="BN207" s="104"/>
      <c r="BU207" s="23"/>
    </row>
    <row r="208" spans="1:73" ht="69" x14ac:dyDescent="0.3">
      <c r="A208" s="65" t="s">
        <v>776</v>
      </c>
      <c r="D208" s="106">
        <v>30750551</v>
      </c>
      <c r="E208" s="96" t="s">
        <v>860</v>
      </c>
      <c r="F208" s="129">
        <v>45765</v>
      </c>
      <c r="BL208" s="91" t="s">
        <v>861</v>
      </c>
      <c r="BM208" s="20" t="s">
        <v>92</v>
      </c>
      <c r="BN208" s="28" t="s">
        <v>93</v>
      </c>
      <c r="BU208" s="23" t="s">
        <v>97</v>
      </c>
    </row>
    <row r="209" spans="1:73" ht="41.4" x14ac:dyDescent="0.3">
      <c r="A209" s="65" t="s">
        <v>776</v>
      </c>
      <c r="D209" s="95">
        <v>30751253</v>
      </c>
      <c r="E209" s="96" t="s">
        <v>806</v>
      </c>
      <c r="F209" s="129">
        <v>45765</v>
      </c>
      <c r="BL209" s="91" t="s">
        <v>862</v>
      </c>
      <c r="BM209" s="97"/>
      <c r="BN209" s="91"/>
      <c r="BU209" s="23"/>
    </row>
    <row r="210" spans="1:73" ht="41.4" x14ac:dyDescent="0.3">
      <c r="A210" s="65" t="s">
        <v>776</v>
      </c>
      <c r="D210" s="102">
        <v>30752148</v>
      </c>
      <c r="E210" s="96" t="s">
        <v>863</v>
      </c>
      <c r="F210" s="129">
        <v>45765</v>
      </c>
      <c r="BL210" s="91" t="s">
        <v>864</v>
      </c>
      <c r="BM210" s="19" t="s">
        <v>177</v>
      </c>
      <c r="BN210" s="28" t="s">
        <v>687</v>
      </c>
      <c r="BU210" s="13" t="s">
        <v>171</v>
      </c>
    </row>
    <row r="211" spans="1:73" ht="27.6" x14ac:dyDescent="0.3">
      <c r="A211" s="65" t="s">
        <v>776</v>
      </c>
      <c r="D211" s="98">
        <v>30752174</v>
      </c>
      <c r="E211" s="96" t="s">
        <v>860</v>
      </c>
      <c r="F211" s="129">
        <v>45765</v>
      </c>
      <c r="BL211" s="91" t="s">
        <v>865</v>
      </c>
      <c r="BM211" s="97"/>
      <c r="BN211" s="91"/>
      <c r="BU211" s="23"/>
    </row>
    <row r="212" spans="1:73" ht="41.4" x14ac:dyDescent="0.3">
      <c r="A212" s="65" t="s">
        <v>776</v>
      </c>
      <c r="D212" s="95">
        <v>30752366</v>
      </c>
      <c r="E212" s="96" t="s">
        <v>855</v>
      </c>
      <c r="F212" s="129">
        <v>45765</v>
      </c>
      <c r="BL212" s="91" t="s">
        <v>866</v>
      </c>
      <c r="BM212" s="19" t="s">
        <v>177</v>
      </c>
      <c r="BN212" s="28" t="s">
        <v>687</v>
      </c>
      <c r="BU212" s="13" t="s">
        <v>171</v>
      </c>
    </row>
    <row r="213" spans="1:73" ht="27.6" x14ac:dyDescent="0.3">
      <c r="A213" s="65" t="s">
        <v>776</v>
      </c>
      <c r="D213" s="102">
        <v>30753529</v>
      </c>
      <c r="E213" s="103" t="s">
        <v>790</v>
      </c>
      <c r="F213" s="129">
        <v>45765</v>
      </c>
      <c r="BL213" s="104" t="s">
        <v>867</v>
      </c>
      <c r="BM213" s="105" t="s">
        <v>145</v>
      </c>
      <c r="BN213" s="104" t="s">
        <v>318</v>
      </c>
      <c r="BU213" s="23" t="s">
        <v>110</v>
      </c>
    </row>
    <row r="214" spans="1:73" ht="27.6" x14ac:dyDescent="0.3">
      <c r="A214" s="65" t="s">
        <v>776</v>
      </c>
      <c r="D214" s="98">
        <v>30753693</v>
      </c>
      <c r="E214" s="99" t="s">
        <v>832</v>
      </c>
      <c r="F214" s="129">
        <v>45765</v>
      </c>
      <c r="BL214" s="107" t="s">
        <v>868</v>
      </c>
      <c r="BM214" s="108"/>
      <c r="BN214" s="109"/>
      <c r="BU214" s="23"/>
    </row>
    <row r="215" spans="1:73" ht="41.4" x14ac:dyDescent="0.3">
      <c r="A215" s="65" t="s">
        <v>776</v>
      </c>
      <c r="D215" s="95">
        <v>30754038</v>
      </c>
      <c r="E215" s="96" t="s">
        <v>847</v>
      </c>
      <c r="F215" s="129">
        <v>45765</v>
      </c>
      <c r="BL215" s="91" t="s">
        <v>869</v>
      </c>
      <c r="BM215" s="97"/>
      <c r="BN215" s="91"/>
      <c r="BU215" s="23"/>
    </row>
    <row r="216" spans="1:73" ht="27.6" x14ac:dyDescent="0.3">
      <c r="A216" s="65" t="s">
        <v>776</v>
      </c>
      <c r="D216" s="102">
        <v>30755419</v>
      </c>
      <c r="E216" s="103" t="s">
        <v>870</v>
      </c>
      <c r="F216" s="129">
        <v>45765</v>
      </c>
      <c r="BL216" s="91"/>
      <c r="BM216" s="110"/>
      <c r="BN216" s="104"/>
      <c r="BU216" s="23"/>
    </row>
    <row r="217" spans="1:73" x14ac:dyDescent="0.3">
      <c r="A217" s="65" t="s">
        <v>776</v>
      </c>
      <c r="D217" s="95">
        <v>30757175</v>
      </c>
      <c r="E217" s="96" t="s">
        <v>787</v>
      </c>
      <c r="F217" s="129">
        <v>45765</v>
      </c>
      <c r="BL217" s="91"/>
      <c r="BM217" s="111"/>
      <c r="BN217" s="91"/>
      <c r="BU217" s="23"/>
    </row>
    <row r="218" spans="1:73" ht="28.8" x14ac:dyDescent="0.3">
      <c r="A218" s="65" t="s">
        <v>776</v>
      </c>
      <c r="D218" s="95">
        <v>30757918</v>
      </c>
      <c r="E218" s="96" t="s">
        <v>871</v>
      </c>
      <c r="F218" s="129">
        <v>45765</v>
      </c>
      <c r="BL218" s="91" t="s">
        <v>872</v>
      </c>
      <c r="BM218" s="19" t="s">
        <v>177</v>
      </c>
      <c r="BN218" s="17" t="s">
        <v>205</v>
      </c>
      <c r="BU218" s="13" t="s">
        <v>171</v>
      </c>
    </row>
    <row r="219" spans="1:73" ht="27.6" x14ac:dyDescent="0.3">
      <c r="A219" s="65" t="s">
        <v>776</v>
      </c>
      <c r="D219" s="95">
        <v>30758883</v>
      </c>
      <c r="E219" s="96" t="s">
        <v>800</v>
      </c>
      <c r="F219" s="129">
        <v>45765</v>
      </c>
      <c r="BL219" s="91" t="s">
        <v>873</v>
      </c>
      <c r="BM219" s="19" t="s">
        <v>107</v>
      </c>
      <c r="BN219" s="97" t="s">
        <v>502</v>
      </c>
      <c r="BU219" s="23" t="s">
        <v>110</v>
      </c>
    </row>
    <row r="220" spans="1:73" ht="55.2" x14ac:dyDescent="0.3">
      <c r="A220" s="65" t="s">
        <v>776</v>
      </c>
      <c r="D220" s="95">
        <v>30758910</v>
      </c>
      <c r="E220" s="96" t="s">
        <v>874</v>
      </c>
      <c r="F220" s="129">
        <v>45765</v>
      </c>
      <c r="BL220" s="91" t="s">
        <v>875</v>
      </c>
      <c r="BM220" s="97" t="s">
        <v>145</v>
      </c>
      <c r="BN220" s="91" t="s">
        <v>765</v>
      </c>
      <c r="BU220" s="23" t="s">
        <v>110</v>
      </c>
    </row>
    <row r="221" spans="1:73" ht="27.6" x14ac:dyDescent="0.3">
      <c r="A221" s="65" t="s">
        <v>776</v>
      </c>
      <c r="D221" s="98">
        <v>30760622</v>
      </c>
      <c r="E221" s="99" t="s">
        <v>794</v>
      </c>
      <c r="F221" s="129">
        <v>45765</v>
      </c>
      <c r="BL221" s="91"/>
      <c r="BM221" s="112"/>
      <c r="BN221" s="100"/>
      <c r="BU221" s="23"/>
    </row>
    <row r="222" spans="1:73" ht="27.6" x14ac:dyDescent="0.3">
      <c r="A222" s="65" t="s">
        <v>776</v>
      </c>
      <c r="D222" s="95">
        <v>30760684</v>
      </c>
      <c r="E222" s="96" t="s">
        <v>844</v>
      </c>
      <c r="F222" s="129">
        <v>45765</v>
      </c>
      <c r="BL222" s="91" t="s">
        <v>876</v>
      </c>
      <c r="BM222" s="19" t="s">
        <v>107</v>
      </c>
      <c r="BN222" s="97" t="s">
        <v>438</v>
      </c>
      <c r="BU222" s="13" t="s">
        <v>171</v>
      </c>
    </row>
    <row r="223" spans="1:73" ht="69" x14ac:dyDescent="0.3">
      <c r="A223" s="65" t="s">
        <v>776</v>
      </c>
      <c r="D223" s="106">
        <v>30761372</v>
      </c>
      <c r="E223" s="96" t="s">
        <v>795</v>
      </c>
      <c r="F223" s="129">
        <v>45765</v>
      </c>
      <c r="BL223" s="91" t="s">
        <v>877</v>
      </c>
      <c r="BM223" s="97" t="s">
        <v>145</v>
      </c>
      <c r="BN223" s="91" t="s">
        <v>325</v>
      </c>
      <c r="BU223" s="23" t="s">
        <v>97</v>
      </c>
    </row>
    <row r="224" spans="1:73" ht="28.8" x14ac:dyDescent="0.3">
      <c r="A224" s="65" t="s">
        <v>776</v>
      </c>
      <c r="D224" s="98">
        <v>30762336</v>
      </c>
      <c r="E224" s="99" t="s">
        <v>792</v>
      </c>
      <c r="F224" s="129">
        <v>45765</v>
      </c>
      <c r="BL224" s="100" t="s">
        <v>878</v>
      </c>
      <c r="BM224" s="19" t="s">
        <v>177</v>
      </c>
      <c r="BN224" s="17" t="s">
        <v>272</v>
      </c>
      <c r="BU224" s="13" t="s">
        <v>171</v>
      </c>
    </row>
    <row r="225" spans="1:73" ht="27.6" x14ac:dyDescent="0.3">
      <c r="A225" s="65" t="s">
        <v>776</v>
      </c>
      <c r="D225" s="95">
        <v>30760261</v>
      </c>
      <c r="E225" s="96" t="s">
        <v>844</v>
      </c>
      <c r="F225" s="129">
        <v>45765</v>
      </c>
      <c r="BL225" s="91" t="s">
        <v>879</v>
      </c>
      <c r="BM225" s="92" t="s">
        <v>145</v>
      </c>
      <c r="BN225" s="77" t="s">
        <v>747</v>
      </c>
      <c r="BU225" s="23" t="s">
        <v>97</v>
      </c>
    </row>
    <row r="226" spans="1:73" ht="27.6" x14ac:dyDescent="0.3">
      <c r="A226" s="65" t="s">
        <v>776</v>
      </c>
      <c r="D226" s="95">
        <v>30764521</v>
      </c>
      <c r="E226" s="96" t="s">
        <v>832</v>
      </c>
      <c r="F226" s="129">
        <v>45765</v>
      </c>
      <c r="BL226" s="104" t="s">
        <v>880</v>
      </c>
      <c r="BM226" s="19" t="s">
        <v>107</v>
      </c>
      <c r="BN226" s="113" t="s">
        <v>198</v>
      </c>
      <c r="BU226" s="23" t="s">
        <v>110</v>
      </c>
    </row>
    <row r="227" spans="1:73" x14ac:dyDescent="0.3">
      <c r="A227" s="65" t="s">
        <v>776</v>
      </c>
      <c r="D227" s="106">
        <v>30765757</v>
      </c>
      <c r="E227" s="96" t="s">
        <v>881</v>
      </c>
      <c r="F227" s="129">
        <v>45765</v>
      </c>
      <c r="BL227" s="91"/>
      <c r="BM227" s="92"/>
      <c r="BN227" s="77"/>
      <c r="BU227" s="23"/>
    </row>
    <row r="228" spans="1:73" ht="41.4" x14ac:dyDescent="0.3">
      <c r="A228" s="49" t="s">
        <v>882</v>
      </c>
      <c r="B228" s="50">
        <v>45812</v>
      </c>
      <c r="C228" s="50" t="s">
        <v>74</v>
      </c>
      <c r="D228" s="51">
        <v>30704730</v>
      </c>
      <c r="E228" s="51" t="s">
        <v>883</v>
      </c>
      <c r="F228" s="129">
        <v>45751</v>
      </c>
      <c r="BE228" s="51" t="s">
        <v>884</v>
      </c>
      <c r="BF228" s="114" t="s">
        <v>885</v>
      </c>
      <c r="BG228" s="51" t="s">
        <v>87</v>
      </c>
      <c r="BH228" s="51" t="s">
        <v>404</v>
      </c>
      <c r="BI228" s="51" t="s">
        <v>886</v>
      </c>
      <c r="BJ228" s="51" t="s">
        <v>887</v>
      </c>
      <c r="BL228" s="51" t="s">
        <v>888</v>
      </c>
      <c r="BM228" s="19" t="s">
        <v>107</v>
      </c>
      <c r="BN228" s="115" t="s">
        <v>336</v>
      </c>
      <c r="BO228" s="54" t="s">
        <v>124</v>
      </c>
      <c r="BP228" s="52"/>
      <c r="BQ228" s="52" t="s">
        <v>889</v>
      </c>
      <c r="BU228" s="13" t="s">
        <v>171</v>
      </c>
    </row>
    <row r="229" spans="1:73" ht="82.8" x14ac:dyDescent="0.3">
      <c r="A229" s="49" t="s">
        <v>882</v>
      </c>
      <c r="B229" s="50">
        <v>45814</v>
      </c>
      <c r="C229" s="50" t="s">
        <v>74</v>
      </c>
      <c r="D229" s="51">
        <v>30710204</v>
      </c>
      <c r="E229" s="51" t="s">
        <v>890</v>
      </c>
      <c r="F229" s="129">
        <v>45753</v>
      </c>
      <c r="BE229" s="51" t="s">
        <v>620</v>
      </c>
      <c r="BF229" s="114" t="s">
        <v>891</v>
      </c>
      <c r="BG229" s="51" t="s">
        <v>87</v>
      </c>
      <c r="BH229" s="51" t="s">
        <v>88</v>
      </c>
      <c r="BI229" s="51" t="s">
        <v>892</v>
      </c>
      <c r="BJ229" s="51" t="s">
        <v>893</v>
      </c>
      <c r="BL229" s="51" t="s">
        <v>894</v>
      </c>
      <c r="BM229" s="19" t="s">
        <v>107</v>
      </c>
      <c r="BN229" s="115" t="s">
        <v>438</v>
      </c>
      <c r="BO229" s="54" t="s">
        <v>124</v>
      </c>
      <c r="BP229" s="52"/>
      <c r="BQ229" s="52" t="s">
        <v>895</v>
      </c>
      <c r="BU229" s="13" t="s">
        <v>171</v>
      </c>
    </row>
    <row r="230" spans="1:73" ht="27.6" x14ac:dyDescent="0.3">
      <c r="A230" s="49" t="s">
        <v>882</v>
      </c>
      <c r="B230" s="50">
        <v>45818</v>
      </c>
      <c r="C230" s="50" t="s">
        <v>74</v>
      </c>
      <c r="D230" s="51">
        <v>30715818</v>
      </c>
      <c r="E230" s="51" t="s">
        <v>883</v>
      </c>
      <c r="F230" s="129">
        <v>45757</v>
      </c>
      <c r="BE230" s="51" t="s">
        <v>896</v>
      </c>
      <c r="BF230" s="114" t="s">
        <v>897</v>
      </c>
      <c r="BG230" s="51" t="s">
        <v>87</v>
      </c>
      <c r="BH230" s="51" t="s">
        <v>270</v>
      </c>
      <c r="BI230" s="51" t="s">
        <v>898</v>
      </c>
      <c r="BJ230" s="51" t="s">
        <v>898</v>
      </c>
      <c r="BL230" s="51" t="s">
        <v>899</v>
      </c>
      <c r="BM230" s="115"/>
      <c r="BN230" s="54"/>
      <c r="BO230" s="54" t="s">
        <v>94</v>
      </c>
      <c r="BP230" s="52" t="s">
        <v>899</v>
      </c>
      <c r="BQ230" s="52"/>
      <c r="BU230" s="23"/>
    </row>
    <row r="231" spans="1:73" ht="248.4" x14ac:dyDescent="0.3">
      <c r="A231" s="49" t="s">
        <v>882</v>
      </c>
      <c r="B231" s="50">
        <v>45818</v>
      </c>
      <c r="C231" s="50" t="s">
        <v>74</v>
      </c>
      <c r="D231" s="51">
        <v>30717166</v>
      </c>
      <c r="E231" s="51" t="s">
        <v>890</v>
      </c>
      <c r="F231" s="129">
        <v>45757</v>
      </c>
      <c r="BE231" s="51" t="s">
        <v>900</v>
      </c>
      <c r="BF231" s="114" t="s">
        <v>901</v>
      </c>
      <c r="BG231" s="51" t="s">
        <v>87</v>
      </c>
      <c r="BH231" s="51" t="s">
        <v>404</v>
      </c>
      <c r="BI231" s="51" t="s">
        <v>902</v>
      </c>
      <c r="BJ231" s="51" t="s">
        <v>903</v>
      </c>
      <c r="BL231" s="51" t="s">
        <v>904</v>
      </c>
      <c r="BM231" s="19" t="s">
        <v>107</v>
      </c>
      <c r="BN231" s="115" t="s">
        <v>502</v>
      </c>
      <c r="BO231" s="54" t="s">
        <v>94</v>
      </c>
      <c r="BP231" s="52" t="s">
        <v>905</v>
      </c>
      <c r="BQ231" s="52" t="s">
        <v>906</v>
      </c>
      <c r="BU231" s="23" t="s">
        <v>110</v>
      </c>
    </row>
    <row r="232" spans="1:73" ht="82.8" x14ac:dyDescent="0.3">
      <c r="A232" s="49" t="s">
        <v>882</v>
      </c>
      <c r="B232" s="50">
        <v>45821</v>
      </c>
      <c r="C232" s="50" t="s">
        <v>74</v>
      </c>
      <c r="D232" s="51">
        <v>30726630</v>
      </c>
      <c r="E232" s="51" t="s">
        <v>890</v>
      </c>
      <c r="F232" s="129">
        <v>45760</v>
      </c>
      <c r="BE232" s="51" t="s">
        <v>907</v>
      </c>
      <c r="BF232" s="114" t="s">
        <v>908</v>
      </c>
      <c r="BG232" s="51" t="s">
        <v>87</v>
      </c>
      <c r="BH232" s="51" t="s">
        <v>270</v>
      </c>
      <c r="BI232" s="51" t="s">
        <v>909</v>
      </c>
      <c r="BJ232" s="51" t="s">
        <v>229</v>
      </c>
      <c r="BL232" s="51" t="s">
        <v>910</v>
      </c>
      <c r="BM232" s="115" t="s">
        <v>910</v>
      </c>
      <c r="BN232" s="54"/>
      <c r="BO232" s="54" t="s">
        <v>94</v>
      </c>
      <c r="BP232" s="52" t="s">
        <v>910</v>
      </c>
      <c r="BQ232" s="52"/>
      <c r="BU232" s="23"/>
    </row>
    <row r="233" spans="1:73" ht="69" x14ac:dyDescent="0.3">
      <c r="A233" s="49" t="s">
        <v>882</v>
      </c>
      <c r="B233" s="50">
        <v>45827</v>
      </c>
      <c r="C233" s="50" t="s">
        <v>74</v>
      </c>
      <c r="D233" s="51">
        <v>30739975</v>
      </c>
      <c r="E233" s="51" t="s">
        <v>890</v>
      </c>
      <c r="F233" s="129">
        <v>45766</v>
      </c>
      <c r="BE233" s="51" t="s">
        <v>907</v>
      </c>
      <c r="BF233" s="114">
        <v>30750592</v>
      </c>
      <c r="BG233" s="51" t="s">
        <v>87</v>
      </c>
      <c r="BH233" s="51" t="s">
        <v>404</v>
      </c>
      <c r="BI233" s="51" t="s">
        <v>911</v>
      </c>
      <c r="BJ233" s="51" t="s">
        <v>229</v>
      </c>
      <c r="BL233" s="51" t="s">
        <v>912</v>
      </c>
      <c r="BM233" s="115"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129">
        <v>45766</v>
      </c>
      <c r="BE234" s="51"/>
      <c r="BF234" s="114"/>
      <c r="BG234" s="51"/>
      <c r="BH234" s="51"/>
      <c r="BI234" s="51" t="s">
        <v>914</v>
      </c>
      <c r="BJ234" s="51"/>
      <c r="BL234" s="51" t="s">
        <v>914</v>
      </c>
      <c r="BM234" s="115"/>
      <c r="BN234" s="54"/>
      <c r="BO234" s="54"/>
      <c r="BP234" s="52"/>
      <c r="BQ234" s="52" t="s">
        <v>914</v>
      </c>
      <c r="BU234" s="23"/>
    </row>
    <row r="235" spans="1:73" ht="82.8" x14ac:dyDescent="0.3">
      <c r="A235" s="49" t="s">
        <v>882</v>
      </c>
      <c r="B235" s="50">
        <v>45827</v>
      </c>
      <c r="C235" s="50" t="s">
        <v>74</v>
      </c>
      <c r="D235" s="51">
        <v>38357217</v>
      </c>
      <c r="E235" s="51" t="s">
        <v>915</v>
      </c>
      <c r="F235" s="129">
        <v>45766</v>
      </c>
      <c r="BE235" s="51" t="s">
        <v>595</v>
      </c>
      <c r="BF235" s="114" t="s">
        <v>916</v>
      </c>
      <c r="BG235" s="51" t="s">
        <v>917</v>
      </c>
      <c r="BH235" s="51" t="s">
        <v>88</v>
      </c>
      <c r="BI235" s="51" t="s">
        <v>918</v>
      </c>
      <c r="BJ235" s="51" t="s">
        <v>595</v>
      </c>
      <c r="BL235" s="51" t="s">
        <v>919</v>
      </c>
      <c r="BM235" s="115"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129">
        <v>45770</v>
      </c>
      <c r="BE236" s="51"/>
      <c r="BF236" s="114"/>
      <c r="BG236" s="51"/>
      <c r="BH236" s="51"/>
      <c r="BI236" s="51" t="s">
        <v>921</v>
      </c>
      <c r="BJ236" s="51"/>
      <c r="BL236" s="51" t="s">
        <v>921</v>
      </c>
      <c r="BM236" s="115"/>
      <c r="BN236" s="54"/>
      <c r="BO236" s="54"/>
      <c r="BP236" s="52"/>
      <c r="BQ236" s="52" t="s">
        <v>921</v>
      </c>
      <c r="BU236" s="23"/>
    </row>
    <row r="237" spans="1:73" ht="27.6" x14ac:dyDescent="0.3">
      <c r="A237" s="49" t="s">
        <v>882</v>
      </c>
      <c r="B237" s="50">
        <v>45833</v>
      </c>
      <c r="C237" s="50" t="s">
        <v>74</v>
      </c>
      <c r="D237" s="51">
        <v>30754277</v>
      </c>
      <c r="E237" s="51" t="s">
        <v>883</v>
      </c>
      <c r="F237" s="129">
        <v>45772</v>
      </c>
      <c r="BE237" s="51"/>
      <c r="BF237" s="114"/>
      <c r="BG237" s="51"/>
      <c r="BH237" s="51"/>
      <c r="BI237" s="51" t="s">
        <v>922</v>
      </c>
      <c r="BJ237" s="51"/>
      <c r="BL237" s="51" t="s">
        <v>922</v>
      </c>
      <c r="BM237" s="115"/>
      <c r="BN237" s="54"/>
      <c r="BO237" s="54"/>
      <c r="BP237" s="52"/>
      <c r="BQ237" s="52" t="s">
        <v>922</v>
      </c>
      <c r="BU237" s="23"/>
    </row>
    <row r="238" spans="1:73" ht="41.4" x14ac:dyDescent="0.3">
      <c r="A238" s="49" t="s">
        <v>882</v>
      </c>
      <c r="B238" s="50">
        <v>45834</v>
      </c>
      <c r="C238" s="50" t="s">
        <v>74</v>
      </c>
      <c r="D238" s="51">
        <v>30756475</v>
      </c>
      <c r="E238" s="51" t="s">
        <v>890</v>
      </c>
      <c r="F238" s="129">
        <v>45773</v>
      </c>
      <c r="BE238" s="51" t="s">
        <v>923</v>
      </c>
      <c r="BF238" s="114">
        <v>30682643</v>
      </c>
      <c r="BG238" s="51" t="s">
        <v>87</v>
      </c>
      <c r="BH238" s="51" t="s">
        <v>404</v>
      </c>
      <c r="BI238" s="51" t="s">
        <v>924</v>
      </c>
      <c r="BJ238" s="51" t="s">
        <v>923</v>
      </c>
      <c r="BL238" s="51" t="s">
        <v>925</v>
      </c>
      <c r="BM238" s="19" t="s">
        <v>107</v>
      </c>
      <c r="BN238" s="115" t="s">
        <v>638</v>
      </c>
      <c r="BO238" s="54" t="s">
        <v>124</v>
      </c>
      <c r="BP238" s="52"/>
      <c r="BQ238" s="52" t="s">
        <v>926</v>
      </c>
      <c r="BU238" s="13" t="s">
        <v>171</v>
      </c>
    </row>
    <row r="239" spans="1:73" ht="27.6" x14ac:dyDescent="0.3">
      <c r="A239" s="49" t="s">
        <v>882</v>
      </c>
      <c r="B239" s="50">
        <v>45835</v>
      </c>
      <c r="C239" s="50" t="s">
        <v>74</v>
      </c>
      <c r="D239" s="51">
        <v>30761148</v>
      </c>
      <c r="E239" s="51" t="s">
        <v>883</v>
      </c>
      <c r="F239" s="129">
        <v>45774</v>
      </c>
      <c r="BE239" s="51" t="s">
        <v>927</v>
      </c>
      <c r="BF239" s="114" t="s">
        <v>928</v>
      </c>
      <c r="BG239" s="51" t="s">
        <v>87</v>
      </c>
      <c r="BH239" s="51" t="s">
        <v>404</v>
      </c>
      <c r="BI239" s="51" t="s">
        <v>929</v>
      </c>
      <c r="BJ239" s="51" t="s">
        <v>930</v>
      </c>
      <c r="BL239" s="51" t="s">
        <v>931</v>
      </c>
      <c r="BM239" s="115"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129">
        <v>45774</v>
      </c>
      <c r="BE240" s="51">
        <v>30754277</v>
      </c>
      <c r="BF240" s="114" t="s">
        <v>933</v>
      </c>
      <c r="BG240" s="51" t="s">
        <v>87</v>
      </c>
      <c r="BH240" s="51" t="s">
        <v>404</v>
      </c>
      <c r="BI240" s="51" t="s">
        <v>934</v>
      </c>
      <c r="BJ240" s="51" t="s">
        <v>595</v>
      </c>
      <c r="BL240" s="51" t="s">
        <v>935</v>
      </c>
      <c r="BM240" s="19" t="s">
        <v>107</v>
      </c>
      <c r="BN240" s="115" t="s">
        <v>426</v>
      </c>
      <c r="BO240" s="54" t="s">
        <v>124</v>
      </c>
      <c r="BP240" s="52"/>
      <c r="BQ240" s="52" t="s">
        <v>936</v>
      </c>
      <c r="BU240" s="13" t="s">
        <v>171</v>
      </c>
    </row>
    <row r="241" spans="1:73" ht="82.8" x14ac:dyDescent="0.3">
      <c r="A241" s="49" t="s">
        <v>882</v>
      </c>
      <c r="B241" s="50">
        <v>45838</v>
      </c>
      <c r="C241" s="50" t="s">
        <v>74</v>
      </c>
      <c r="D241" s="51">
        <v>38405539</v>
      </c>
      <c r="E241" s="51" t="s">
        <v>937</v>
      </c>
      <c r="F241" s="129">
        <v>45777</v>
      </c>
      <c r="BE241" s="51" t="s">
        <v>900</v>
      </c>
      <c r="BF241" s="114">
        <v>30717185</v>
      </c>
      <c r="BG241" s="51" t="s">
        <v>87</v>
      </c>
      <c r="BH241" s="51" t="s">
        <v>404</v>
      </c>
      <c r="BI241" s="51" t="s">
        <v>938</v>
      </c>
      <c r="BJ241" s="51" t="s">
        <v>903</v>
      </c>
      <c r="BL241" s="51" t="s">
        <v>939</v>
      </c>
      <c r="BM241" s="115"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129">
        <v>45777</v>
      </c>
      <c r="BE242" s="51" t="s">
        <v>595</v>
      </c>
      <c r="BF242" s="114">
        <v>30674777</v>
      </c>
      <c r="BG242" s="51" t="s">
        <v>941</v>
      </c>
      <c r="BH242" s="51" t="s">
        <v>404</v>
      </c>
      <c r="BI242" s="51" t="s">
        <v>942</v>
      </c>
      <c r="BJ242" s="51" t="s">
        <v>595</v>
      </c>
      <c r="BL242" s="51" t="s">
        <v>943</v>
      </c>
      <c r="BM242" s="19" t="s">
        <v>107</v>
      </c>
      <c r="BN242" s="115" t="s">
        <v>198</v>
      </c>
      <c r="BO242" s="54" t="s">
        <v>124</v>
      </c>
      <c r="BP242" s="52"/>
      <c r="BQ242" s="52" t="s">
        <v>944</v>
      </c>
      <c r="BU242" s="23" t="s">
        <v>110</v>
      </c>
    </row>
    <row r="243" spans="1:73" ht="27.6" x14ac:dyDescent="0.3">
      <c r="A243" s="49" t="s">
        <v>882</v>
      </c>
      <c r="B243" s="50">
        <v>45810</v>
      </c>
      <c r="C243" s="50" t="s">
        <v>74</v>
      </c>
      <c r="D243" s="51">
        <v>30695779</v>
      </c>
      <c r="E243" s="51" t="s">
        <v>945</v>
      </c>
      <c r="F243" s="129">
        <v>45749</v>
      </c>
      <c r="BE243" s="51" t="s">
        <v>946</v>
      </c>
      <c r="BF243" s="114">
        <v>30163623</v>
      </c>
      <c r="BG243" s="51" t="s">
        <v>941</v>
      </c>
      <c r="BH243" s="51" t="s">
        <v>270</v>
      </c>
      <c r="BI243" s="51" t="s">
        <v>947</v>
      </c>
      <c r="BJ243" s="51" t="s">
        <v>946</v>
      </c>
      <c r="BL243" s="51" t="s">
        <v>948</v>
      </c>
      <c r="BM243" s="115"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129">
        <v>45749</v>
      </c>
      <c r="BE244" s="51" t="s">
        <v>893</v>
      </c>
      <c r="BF244" s="114">
        <v>30589902</v>
      </c>
      <c r="BG244" s="51" t="s">
        <v>87</v>
      </c>
      <c r="BH244" s="51" t="s">
        <v>951</v>
      </c>
      <c r="BI244" s="51" t="s">
        <v>952</v>
      </c>
      <c r="BJ244" s="51" t="s">
        <v>893</v>
      </c>
      <c r="BL244" s="51" t="s">
        <v>953</v>
      </c>
      <c r="BM244" s="19" t="s">
        <v>107</v>
      </c>
      <c r="BN244" s="115" t="s">
        <v>108</v>
      </c>
      <c r="BO244" s="54" t="s">
        <v>94</v>
      </c>
      <c r="BP244" s="52" t="s">
        <v>954</v>
      </c>
      <c r="BQ244" s="52" t="s">
        <v>663</v>
      </c>
      <c r="BU244" s="23" t="s">
        <v>110</v>
      </c>
    </row>
    <row r="245" spans="1:73" ht="41.4" x14ac:dyDescent="0.3">
      <c r="A245" s="49" t="s">
        <v>882</v>
      </c>
      <c r="B245" s="50">
        <v>45812</v>
      </c>
      <c r="C245" s="50" t="s">
        <v>74</v>
      </c>
      <c r="D245" s="51">
        <v>30703501</v>
      </c>
      <c r="E245" s="51" t="s">
        <v>955</v>
      </c>
      <c r="F245" s="129">
        <v>45751</v>
      </c>
      <c r="BE245" s="51" t="s">
        <v>956</v>
      </c>
      <c r="BF245" s="114" t="s">
        <v>957</v>
      </c>
      <c r="BG245" s="51" t="s">
        <v>87</v>
      </c>
      <c r="BH245" s="51" t="s">
        <v>951</v>
      </c>
      <c r="BI245" s="51" t="s">
        <v>958</v>
      </c>
      <c r="BJ245" s="51" t="s">
        <v>956</v>
      </c>
      <c r="BL245" s="51" t="s">
        <v>958</v>
      </c>
      <c r="BM245" s="115"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129">
        <v>45751</v>
      </c>
      <c r="BE246" s="51" t="s">
        <v>380</v>
      </c>
      <c r="BF246" s="114">
        <v>30700481</v>
      </c>
      <c r="BG246" s="51" t="s">
        <v>961</v>
      </c>
      <c r="BH246" s="51" t="s">
        <v>951</v>
      </c>
      <c r="BI246" s="51" t="s">
        <v>962</v>
      </c>
      <c r="BJ246" s="51" t="s">
        <v>380</v>
      </c>
      <c r="BL246" s="51" t="s">
        <v>963</v>
      </c>
      <c r="BM246" s="115"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129">
        <v>45752</v>
      </c>
      <c r="BE247" s="51"/>
      <c r="BF247" s="114"/>
      <c r="BG247" s="51"/>
      <c r="BH247" s="51"/>
      <c r="BI247" s="51"/>
      <c r="BJ247" s="51"/>
      <c r="BL247" s="51"/>
      <c r="BM247" s="115"/>
      <c r="BN247" s="54"/>
      <c r="BO247" s="54" t="s">
        <v>94</v>
      </c>
      <c r="BP247" s="52" t="s">
        <v>966</v>
      </c>
      <c r="BQ247" s="52" t="s">
        <v>967</v>
      </c>
      <c r="BU247" s="23"/>
    </row>
    <row r="248" spans="1:73" ht="55.2" x14ac:dyDescent="0.3">
      <c r="A248" s="49" t="s">
        <v>882</v>
      </c>
      <c r="B248" s="50">
        <v>45813</v>
      </c>
      <c r="C248" s="50" t="s">
        <v>74</v>
      </c>
      <c r="D248" s="51">
        <v>30707570</v>
      </c>
      <c r="E248" s="51" t="s">
        <v>968</v>
      </c>
      <c r="F248" s="129">
        <v>45752</v>
      </c>
      <c r="BE248" s="51" t="s">
        <v>86</v>
      </c>
      <c r="BF248" s="114">
        <v>30433440</v>
      </c>
      <c r="BG248" s="51" t="s">
        <v>87</v>
      </c>
      <c r="BH248" s="51" t="s">
        <v>951</v>
      </c>
      <c r="BI248" s="51" t="s">
        <v>969</v>
      </c>
      <c r="BJ248" s="51" t="s">
        <v>86</v>
      </c>
      <c r="BL248" s="51" t="s">
        <v>970</v>
      </c>
      <c r="BM248" s="115"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129">
        <v>45753</v>
      </c>
      <c r="BE249" s="51" t="s">
        <v>130</v>
      </c>
      <c r="BF249" s="114">
        <v>30555813</v>
      </c>
      <c r="BG249" s="51" t="s">
        <v>87</v>
      </c>
      <c r="BH249" s="51" t="s">
        <v>951</v>
      </c>
      <c r="BI249" s="51" t="s">
        <v>973</v>
      </c>
      <c r="BJ249" s="51" t="s">
        <v>130</v>
      </c>
      <c r="BL249" s="51" t="s">
        <v>974</v>
      </c>
      <c r="BM249" s="19" t="s">
        <v>107</v>
      </c>
      <c r="BN249" s="115" t="s">
        <v>123</v>
      </c>
      <c r="BO249" s="54" t="s">
        <v>124</v>
      </c>
      <c r="BP249" s="52"/>
      <c r="BQ249" s="52" t="s">
        <v>975</v>
      </c>
      <c r="BU249" s="23" t="s">
        <v>97</v>
      </c>
    </row>
    <row r="250" spans="1:73" ht="41.4" x14ac:dyDescent="0.3">
      <c r="A250" s="49" t="s">
        <v>882</v>
      </c>
      <c r="B250" s="50">
        <v>45817</v>
      </c>
      <c r="C250" s="50" t="s">
        <v>74</v>
      </c>
      <c r="D250" s="51">
        <v>30714308</v>
      </c>
      <c r="E250" s="51" t="s">
        <v>945</v>
      </c>
      <c r="F250" s="129">
        <v>45756</v>
      </c>
      <c r="BE250" s="51" t="s">
        <v>86</v>
      </c>
      <c r="BF250" s="114">
        <v>30624927</v>
      </c>
      <c r="BG250" s="51" t="s">
        <v>87</v>
      </c>
      <c r="BH250" s="51" t="s">
        <v>951</v>
      </c>
      <c r="BI250" s="51" t="s">
        <v>976</v>
      </c>
      <c r="BJ250" s="51"/>
      <c r="BL250" s="51" t="s">
        <v>977</v>
      </c>
      <c r="BM250" s="19" t="s">
        <v>107</v>
      </c>
      <c r="BN250" s="115" t="s">
        <v>336</v>
      </c>
      <c r="BO250" s="54" t="s">
        <v>124</v>
      </c>
      <c r="BP250" s="52"/>
      <c r="BQ250" s="52" t="s">
        <v>978</v>
      </c>
      <c r="BU250" s="13" t="s">
        <v>171</v>
      </c>
    </row>
    <row r="251" spans="1:73" ht="82.8" x14ac:dyDescent="0.3">
      <c r="A251" s="49" t="s">
        <v>882</v>
      </c>
      <c r="B251" s="50">
        <v>45817</v>
      </c>
      <c r="C251" s="50" t="s">
        <v>74</v>
      </c>
      <c r="D251" s="51">
        <v>30713388</v>
      </c>
      <c r="E251" s="51" t="s">
        <v>945</v>
      </c>
      <c r="F251" s="129">
        <v>45756</v>
      </c>
      <c r="BE251" s="51" t="s">
        <v>569</v>
      </c>
      <c r="BF251" s="114">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129">
        <v>45757</v>
      </c>
      <c r="BE252" s="51" t="s">
        <v>983</v>
      </c>
      <c r="BF252" s="114"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129">
        <v>45757</v>
      </c>
      <c r="BE253" s="51" t="s">
        <v>584</v>
      </c>
      <c r="BF253" s="114">
        <v>26882609</v>
      </c>
      <c r="BG253" s="51" t="s">
        <v>87</v>
      </c>
      <c r="BH253" s="51" t="s">
        <v>951</v>
      </c>
      <c r="BI253" s="51" t="s">
        <v>990</v>
      </c>
      <c r="BJ253" s="51" t="s">
        <v>584</v>
      </c>
      <c r="BL253" s="51" t="s">
        <v>991</v>
      </c>
      <c r="BM253" s="115"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129">
        <v>45758</v>
      </c>
      <c r="BE254" s="51" t="s">
        <v>893</v>
      </c>
      <c r="BF254" s="114">
        <v>30685107</v>
      </c>
      <c r="BG254" s="51" t="s">
        <v>87</v>
      </c>
      <c r="BH254" s="51" t="s">
        <v>951</v>
      </c>
      <c r="BI254" s="51" t="s">
        <v>993</v>
      </c>
      <c r="BJ254" s="51" t="s">
        <v>893</v>
      </c>
      <c r="BL254" s="51" t="s">
        <v>994</v>
      </c>
      <c r="BM254" s="115"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129">
        <v>45758</v>
      </c>
      <c r="BE255" s="51" t="s">
        <v>995</v>
      </c>
      <c r="BF255" s="114">
        <v>30312425</v>
      </c>
      <c r="BG255" s="51" t="s">
        <v>120</v>
      </c>
      <c r="BH255" s="51" t="s">
        <v>996</v>
      </c>
      <c r="BI255" s="51" t="s">
        <v>997</v>
      </c>
      <c r="BJ255" s="51" t="s">
        <v>584</v>
      </c>
      <c r="BL255" s="51" t="s">
        <v>997</v>
      </c>
      <c r="BM255" s="19" t="s">
        <v>107</v>
      </c>
      <c r="BN255" s="115" t="s">
        <v>255</v>
      </c>
      <c r="BO255" s="54" t="s">
        <v>124</v>
      </c>
      <c r="BP255" s="52" t="s">
        <v>663</v>
      </c>
      <c r="BQ255" s="52" t="s">
        <v>998</v>
      </c>
      <c r="BU255" s="13" t="s">
        <v>171</v>
      </c>
    </row>
    <row r="256" spans="1:73" ht="55.2" x14ac:dyDescent="0.3">
      <c r="A256" s="49" t="s">
        <v>882</v>
      </c>
      <c r="B256" s="50">
        <v>45821</v>
      </c>
      <c r="C256" s="50" t="s">
        <v>74</v>
      </c>
      <c r="D256" s="51">
        <v>30726598</v>
      </c>
      <c r="E256" s="51" t="s">
        <v>982</v>
      </c>
      <c r="F256" s="129">
        <v>45760</v>
      </c>
      <c r="BE256" s="51" t="s">
        <v>86</v>
      </c>
      <c r="BF256" s="114">
        <v>30474614</v>
      </c>
      <c r="BG256" s="51" t="s">
        <v>87</v>
      </c>
      <c r="BH256" s="51" t="s">
        <v>951</v>
      </c>
      <c r="BI256" s="51" t="s">
        <v>999</v>
      </c>
      <c r="BJ256" s="51" t="s">
        <v>86</v>
      </c>
      <c r="BL256" s="51" t="s">
        <v>1000</v>
      </c>
      <c r="BM256" s="19" t="s">
        <v>107</v>
      </c>
      <c r="BN256" s="115"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129">
        <v>45765</v>
      </c>
      <c r="BE257" s="51" t="s">
        <v>417</v>
      </c>
      <c r="BF257" s="114">
        <v>30730011</v>
      </c>
      <c r="BG257" s="51" t="s">
        <v>1002</v>
      </c>
      <c r="BH257" s="51" t="s">
        <v>951</v>
      </c>
      <c r="BI257" s="51" t="s">
        <v>228</v>
      </c>
      <c r="BJ257" s="51" t="s">
        <v>417</v>
      </c>
      <c r="BL257" s="51" t="s">
        <v>1003</v>
      </c>
      <c r="BM257" s="115"/>
      <c r="BN257" s="54"/>
      <c r="BO257" s="54" t="s">
        <v>94</v>
      </c>
      <c r="BP257" s="52" t="s">
        <v>1004</v>
      </c>
      <c r="BQ257" s="52"/>
      <c r="BU257" s="23"/>
    </row>
    <row r="258" spans="1:73" ht="55.2" x14ac:dyDescent="0.3">
      <c r="A258" s="49" t="s">
        <v>882</v>
      </c>
      <c r="B258" s="50">
        <v>45828</v>
      </c>
      <c r="C258" s="50" t="s">
        <v>74</v>
      </c>
      <c r="D258" s="51">
        <v>30743493</v>
      </c>
      <c r="E258" s="51" t="s">
        <v>968</v>
      </c>
      <c r="F258" s="129">
        <v>45767</v>
      </c>
      <c r="BE258" s="51" t="s">
        <v>1005</v>
      </c>
      <c r="BF258" s="114">
        <v>30660064</v>
      </c>
      <c r="BG258" s="51" t="s">
        <v>1002</v>
      </c>
      <c r="BH258" s="51" t="s">
        <v>951</v>
      </c>
      <c r="BI258" s="51" t="s">
        <v>1006</v>
      </c>
      <c r="BJ258" s="51" t="s">
        <v>1005</v>
      </c>
      <c r="BL258" s="51" t="s">
        <v>1007</v>
      </c>
      <c r="BM258" s="115"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129">
        <v>45770</v>
      </c>
      <c r="BE259" s="51" t="s">
        <v>86</v>
      </c>
      <c r="BF259" s="114">
        <v>30619271</v>
      </c>
      <c r="BG259" s="51" t="s">
        <v>87</v>
      </c>
      <c r="BH259" s="51" t="s">
        <v>951</v>
      </c>
      <c r="BI259" s="51" t="s">
        <v>1009</v>
      </c>
      <c r="BJ259" s="51" t="s">
        <v>86</v>
      </c>
      <c r="BL259" s="51" t="s">
        <v>1010</v>
      </c>
      <c r="BM259" s="19" t="s">
        <v>107</v>
      </c>
      <c r="BN259" s="115" t="s">
        <v>502</v>
      </c>
      <c r="BO259" s="54" t="s">
        <v>94</v>
      </c>
      <c r="BP259" s="52" t="s">
        <v>1011</v>
      </c>
      <c r="BQ259" s="52"/>
      <c r="BU259" s="23" t="s">
        <v>110</v>
      </c>
    </row>
    <row r="260" spans="1:73" ht="41.4" x14ac:dyDescent="0.3">
      <c r="A260" s="49" t="s">
        <v>882</v>
      </c>
      <c r="B260" s="50">
        <v>45832</v>
      </c>
      <c r="C260" s="50" t="s">
        <v>74</v>
      </c>
      <c r="D260" s="51">
        <v>30749862</v>
      </c>
      <c r="E260" s="51" t="s">
        <v>1012</v>
      </c>
      <c r="F260" s="129">
        <v>45771</v>
      </c>
      <c r="BE260" s="51" t="s">
        <v>130</v>
      </c>
      <c r="BF260" s="114">
        <v>30597189</v>
      </c>
      <c r="BG260" s="51" t="s">
        <v>87</v>
      </c>
      <c r="BH260" s="51" t="s">
        <v>951</v>
      </c>
      <c r="BI260" s="51" t="s">
        <v>1013</v>
      </c>
      <c r="BJ260" s="51" t="s">
        <v>130</v>
      </c>
      <c r="BL260" s="51" t="s">
        <v>1014</v>
      </c>
      <c r="BM260" s="19" t="s">
        <v>107</v>
      </c>
      <c r="BN260" s="115" t="s">
        <v>108</v>
      </c>
      <c r="BO260" s="54" t="s">
        <v>94</v>
      </c>
      <c r="BP260" s="52" t="s">
        <v>1015</v>
      </c>
      <c r="BQ260" s="52"/>
      <c r="BU260" s="23" t="s">
        <v>110</v>
      </c>
    </row>
    <row r="261" spans="1:73" ht="27.6" x14ac:dyDescent="0.3">
      <c r="A261" s="49" t="s">
        <v>882</v>
      </c>
      <c r="B261" s="50">
        <v>45832</v>
      </c>
      <c r="C261" s="50" t="s">
        <v>74</v>
      </c>
      <c r="D261" s="51">
        <v>30750808</v>
      </c>
      <c r="E261" s="51" t="s">
        <v>960</v>
      </c>
      <c r="F261" s="129">
        <v>45771</v>
      </c>
      <c r="BE261" s="51" t="s">
        <v>130</v>
      </c>
      <c r="BF261" s="114">
        <v>30722909</v>
      </c>
      <c r="BG261" s="51" t="s">
        <v>87</v>
      </c>
      <c r="BH261" s="51" t="s">
        <v>270</v>
      </c>
      <c r="BI261" s="51" t="s">
        <v>1016</v>
      </c>
      <c r="BJ261" s="51" t="s">
        <v>130</v>
      </c>
      <c r="BL261" s="51" t="s">
        <v>1017</v>
      </c>
      <c r="BM261" s="19" t="s">
        <v>107</v>
      </c>
      <c r="BN261" s="115" t="s">
        <v>438</v>
      </c>
      <c r="BO261" s="54" t="s">
        <v>124</v>
      </c>
      <c r="BP261" s="52"/>
      <c r="BQ261" s="52" t="s">
        <v>1018</v>
      </c>
      <c r="BU261" s="13" t="s">
        <v>171</v>
      </c>
    </row>
    <row r="262" spans="1:73" ht="55.2" x14ac:dyDescent="0.3">
      <c r="A262" s="49" t="s">
        <v>882</v>
      </c>
      <c r="B262" s="50">
        <v>45832</v>
      </c>
      <c r="C262" s="50" t="s">
        <v>74</v>
      </c>
      <c r="D262" s="51">
        <v>30750836</v>
      </c>
      <c r="E262" s="51" t="s">
        <v>950</v>
      </c>
      <c r="F262" s="129">
        <v>45771</v>
      </c>
      <c r="BE262" s="51" t="s">
        <v>86</v>
      </c>
      <c r="BF262" s="114">
        <v>30704343</v>
      </c>
      <c r="BG262" s="51" t="s">
        <v>87</v>
      </c>
      <c r="BH262" s="51" t="s">
        <v>951</v>
      </c>
      <c r="BI262" s="51" t="s">
        <v>1019</v>
      </c>
      <c r="BJ262" s="51" t="s">
        <v>86</v>
      </c>
      <c r="BL262" s="51" t="s">
        <v>1020</v>
      </c>
      <c r="BM262" s="115"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129">
        <v>45771</v>
      </c>
      <c r="BE263" s="51" t="s">
        <v>86</v>
      </c>
      <c r="BF263" s="114">
        <v>30653745</v>
      </c>
      <c r="BG263" s="51" t="s">
        <v>87</v>
      </c>
      <c r="BH263" s="51" t="s">
        <v>951</v>
      </c>
      <c r="BI263" s="51" t="s">
        <v>1022</v>
      </c>
      <c r="BJ263" s="51" t="s">
        <v>86</v>
      </c>
      <c r="BL263" s="51" t="s">
        <v>1023</v>
      </c>
      <c r="BM263" s="19" t="s">
        <v>107</v>
      </c>
      <c r="BN263" s="115" t="s">
        <v>336</v>
      </c>
      <c r="BO263" s="54" t="s">
        <v>124</v>
      </c>
      <c r="BP263" s="52"/>
      <c r="BQ263" s="52" t="s">
        <v>1024</v>
      </c>
      <c r="BU263" s="13" t="s">
        <v>171</v>
      </c>
    </row>
    <row r="264" spans="1:73" ht="69" x14ac:dyDescent="0.3">
      <c r="A264" s="49" t="s">
        <v>882</v>
      </c>
      <c r="B264" s="50">
        <v>45834</v>
      </c>
      <c r="C264" s="50" t="s">
        <v>74</v>
      </c>
      <c r="D264" s="51">
        <v>30757164</v>
      </c>
      <c r="E264" s="51" t="s">
        <v>1025</v>
      </c>
      <c r="F264" s="129">
        <v>45773</v>
      </c>
      <c r="BE264" s="51" t="s">
        <v>1026</v>
      </c>
      <c r="BF264" s="114">
        <v>30660067</v>
      </c>
      <c r="BG264" s="51" t="s">
        <v>87</v>
      </c>
      <c r="BH264" s="51" t="s">
        <v>951</v>
      </c>
      <c r="BI264" s="51" t="s">
        <v>1027</v>
      </c>
      <c r="BJ264" s="51" t="s">
        <v>1026</v>
      </c>
      <c r="BL264" s="51" t="s">
        <v>1028</v>
      </c>
      <c r="BM264" s="115"/>
      <c r="BN264" s="54"/>
      <c r="BO264" s="54" t="s">
        <v>94</v>
      </c>
      <c r="BP264" s="52" t="s">
        <v>1029</v>
      </c>
      <c r="BQ264" s="52"/>
      <c r="BU264" s="23"/>
    </row>
    <row r="265" spans="1:73" ht="55.2" x14ac:dyDescent="0.3">
      <c r="A265" s="49" t="s">
        <v>882</v>
      </c>
      <c r="B265" s="50">
        <v>45835</v>
      </c>
      <c r="C265" s="50" t="s">
        <v>74</v>
      </c>
      <c r="D265" s="51">
        <v>30760533</v>
      </c>
      <c r="E265" s="51" t="s">
        <v>968</v>
      </c>
      <c r="F265" s="129">
        <v>45774</v>
      </c>
      <c r="BE265" s="51" t="s">
        <v>130</v>
      </c>
      <c r="BF265" s="114">
        <v>30736477</v>
      </c>
      <c r="BG265" s="51" t="s">
        <v>87</v>
      </c>
      <c r="BH265" s="51" t="s">
        <v>164</v>
      </c>
      <c r="BI265" s="51" t="s">
        <v>1030</v>
      </c>
      <c r="BJ265" s="51" t="s">
        <v>1031</v>
      </c>
      <c r="BL265" s="51" t="s">
        <v>1032</v>
      </c>
      <c r="BM265" s="115"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129">
        <v>45774</v>
      </c>
      <c r="BE266" s="51" t="s">
        <v>1034</v>
      </c>
      <c r="BF266" s="114">
        <v>30344662</v>
      </c>
      <c r="BG266" s="51" t="s">
        <v>1035</v>
      </c>
      <c r="BH266" s="51" t="s">
        <v>1036</v>
      </c>
      <c r="BI266" s="51" t="s">
        <v>1037</v>
      </c>
      <c r="BJ266" s="51" t="s">
        <v>1034</v>
      </c>
      <c r="BL266" s="51" t="s">
        <v>1038</v>
      </c>
      <c r="BM266" s="115" t="s">
        <v>145</v>
      </c>
      <c r="BN266" s="54"/>
      <c r="BO266" s="54"/>
      <c r="BP266" s="52"/>
      <c r="BQ266" s="52"/>
      <c r="BU266" s="23"/>
    </row>
    <row r="267" spans="1:73" ht="27.6" x14ac:dyDescent="0.3">
      <c r="A267" s="49" t="s">
        <v>882</v>
      </c>
      <c r="B267" s="50">
        <v>45838</v>
      </c>
      <c r="C267" s="50" t="s">
        <v>74</v>
      </c>
      <c r="D267" s="51">
        <v>30764813</v>
      </c>
      <c r="E267" s="51" t="s">
        <v>955</v>
      </c>
      <c r="F267" s="129">
        <v>45777</v>
      </c>
      <c r="BE267" s="51" t="s">
        <v>492</v>
      </c>
      <c r="BF267" s="114">
        <v>30480114</v>
      </c>
      <c r="BG267" s="51" t="s">
        <v>87</v>
      </c>
      <c r="BH267" s="51" t="s">
        <v>164</v>
      </c>
      <c r="BI267" s="51" t="s">
        <v>1039</v>
      </c>
      <c r="BJ267" s="51" t="s">
        <v>492</v>
      </c>
      <c r="BL267" s="51" t="s">
        <v>1040</v>
      </c>
      <c r="BM267" s="115"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129">
        <v>45777</v>
      </c>
      <c r="BE268" s="51" t="s">
        <v>184</v>
      </c>
      <c r="BF268" s="114">
        <v>30547975</v>
      </c>
      <c r="BG268" s="51" t="s">
        <v>1002</v>
      </c>
      <c r="BH268" s="51" t="s">
        <v>951</v>
      </c>
      <c r="BI268" s="51" t="s">
        <v>1043</v>
      </c>
      <c r="BJ268" s="51" t="s">
        <v>184</v>
      </c>
      <c r="BL268" s="51" t="s">
        <v>1044</v>
      </c>
      <c r="BM268" s="115"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129">
        <v>45751</v>
      </c>
      <c r="BE269" s="51" t="s">
        <v>1047</v>
      </c>
      <c r="BF269" s="114" t="s">
        <v>1047</v>
      </c>
      <c r="BG269" s="51" t="s">
        <v>1048</v>
      </c>
      <c r="BH269" s="51" t="s">
        <v>1049</v>
      </c>
      <c r="BI269" s="51" t="s">
        <v>1050</v>
      </c>
      <c r="BJ269" s="51" t="s">
        <v>1047</v>
      </c>
      <c r="BL269" s="51" t="s">
        <v>1051</v>
      </c>
      <c r="BM269" s="115"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129">
        <v>45757</v>
      </c>
      <c r="BE270" s="51" t="s">
        <v>1047</v>
      </c>
      <c r="BF270" s="114" t="s">
        <v>1047</v>
      </c>
      <c r="BG270" s="51" t="s">
        <v>1048</v>
      </c>
      <c r="BH270" s="51" t="s">
        <v>1054</v>
      </c>
      <c r="BI270" s="51" t="s">
        <v>1055</v>
      </c>
      <c r="BJ270" s="51" t="s">
        <v>1047</v>
      </c>
      <c r="BL270" s="51" t="s">
        <v>1056</v>
      </c>
      <c r="BM270" s="19" t="s">
        <v>107</v>
      </c>
      <c r="BN270" s="115" t="s">
        <v>198</v>
      </c>
      <c r="BO270" s="54" t="s">
        <v>94</v>
      </c>
      <c r="BP270" s="52" t="s">
        <v>1057</v>
      </c>
      <c r="BQ270" s="52"/>
      <c r="BU270" s="23" t="s">
        <v>110</v>
      </c>
    </row>
    <row r="271" spans="1:73" ht="82.8" x14ac:dyDescent="0.3">
      <c r="A271" s="49" t="s">
        <v>882</v>
      </c>
      <c r="B271" s="50">
        <v>45824</v>
      </c>
      <c r="C271" s="50" t="s">
        <v>74</v>
      </c>
      <c r="D271" s="51">
        <v>38338745</v>
      </c>
      <c r="E271" s="51" t="s">
        <v>1046</v>
      </c>
      <c r="F271" s="129">
        <v>45763</v>
      </c>
      <c r="BE271" s="51" t="s">
        <v>1058</v>
      </c>
      <c r="BF271" s="114" t="s">
        <v>1059</v>
      </c>
      <c r="BG271" s="51" t="s">
        <v>1048</v>
      </c>
      <c r="BH271" s="51" t="s">
        <v>1054</v>
      </c>
      <c r="BI271" s="51" t="s">
        <v>1060</v>
      </c>
      <c r="BJ271" s="51" t="s">
        <v>1058</v>
      </c>
      <c r="BL271" s="51" t="s">
        <v>1061</v>
      </c>
      <c r="BM271" s="115"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129">
        <v>45765</v>
      </c>
      <c r="BE272" s="51" t="s">
        <v>1047</v>
      </c>
      <c r="BF272" s="114" t="s">
        <v>1047</v>
      </c>
      <c r="BG272" s="51" t="s">
        <v>1048</v>
      </c>
      <c r="BH272" s="51" t="s">
        <v>270</v>
      </c>
      <c r="BI272" s="51" t="s">
        <v>1064</v>
      </c>
      <c r="BJ272" s="51" t="s">
        <v>1047</v>
      </c>
      <c r="BL272" s="51" t="s">
        <v>1065</v>
      </c>
      <c r="BM272" s="115"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129">
        <v>45770</v>
      </c>
      <c r="BE273" s="51" t="s">
        <v>1047</v>
      </c>
      <c r="BF273" s="114" t="s">
        <v>1047</v>
      </c>
      <c r="BG273" s="51" t="s">
        <v>1048</v>
      </c>
      <c r="BH273" s="51" t="s">
        <v>270</v>
      </c>
      <c r="BI273" s="51" t="s">
        <v>1068</v>
      </c>
      <c r="BJ273" s="51" t="s">
        <v>1047</v>
      </c>
      <c r="BL273" s="51" t="s">
        <v>1068</v>
      </c>
      <c r="BM273" s="19" t="s">
        <v>107</v>
      </c>
      <c r="BN273" s="115" t="s">
        <v>438</v>
      </c>
      <c r="BO273" s="54" t="s">
        <v>94</v>
      </c>
      <c r="BP273" s="52" t="s">
        <v>1069</v>
      </c>
      <c r="BQ273" s="52"/>
      <c r="BU273" s="13" t="s">
        <v>171</v>
      </c>
    </row>
    <row r="274" spans="1:73" ht="55.2" x14ac:dyDescent="0.3">
      <c r="A274" s="49" t="s">
        <v>882</v>
      </c>
      <c r="B274" s="50">
        <v>45833</v>
      </c>
      <c r="C274" s="50" t="s">
        <v>74</v>
      </c>
      <c r="D274" s="51">
        <v>38382439</v>
      </c>
      <c r="E274" s="51" t="s">
        <v>1053</v>
      </c>
      <c r="F274" s="129">
        <v>45772</v>
      </c>
      <c r="BE274" s="51" t="s">
        <v>1047</v>
      </c>
      <c r="BF274" s="114" t="s">
        <v>1047</v>
      </c>
      <c r="BG274" s="51" t="s">
        <v>1048</v>
      </c>
      <c r="BH274" s="51" t="s">
        <v>1049</v>
      </c>
      <c r="BI274" s="51" t="s">
        <v>1070</v>
      </c>
      <c r="BJ274" s="51" t="s">
        <v>1047</v>
      </c>
      <c r="BL274" s="51" t="s">
        <v>1071</v>
      </c>
      <c r="BM274" s="19" t="s">
        <v>107</v>
      </c>
      <c r="BN274" s="115" t="s">
        <v>1072</v>
      </c>
      <c r="BO274" s="54" t="s">
        <v>94</v>
      </c>
      <c r="BP274" s="52" t="s">
        <v>1073</v>
      </c>
      <c r="BQ274" s="52"/>
      <c r="BU274" s="23" t="s">
        <v>97</v>
      </c>
    </row>
    <row r="275" spans="1:73" x14ac:dyDescent="0.3">
      <c r="A275" s="49" t="s">
        <v>882</v>
      </c>
      <c r="B275" s="50">
        <v>45838</v>
      </c>
      <c r="C275" s="50" t="s">
        <v>74</v>
      </c>
      <c r="D275" s="51">
        <v>38404511</v>
      </c>
      <c r="E275" s="51" t="s">
        <v>1046</v>
      </c>
      <c r="F275" s="129">
        <v>45777</v>
      </c>
      <c r="BE275" s="51" t="s">
        <v>1074</v>
      </c>
      <c r="BF275" s="114" t="s">
        <v>1075</v>
      </c>
      <c r="BG275" s="51" t="s">
        <v>1048</v>
      </c>
      <c r="BH275" s="51" t="s">
        <v>1054</v>
      </c>
      <c r="BI275" s="51" t="s">
        <v>1076</v>
      </c>
      <c r="BJ275" s="51" t="s">
        <v>1074</v>
      </c>
      <c r="BL275" s="51" t="s">
        <v>1077</v>
      </c>
      <c r="BM275" s="19" t="s">
        <v>107</v>
      </c>
      <c r="BN275" s="115" t="s">
        <v>438</v>
      </c>
      <c r="BO275" s="54" t="s">
        <v>124</v>
      </c>
      <c r="BP275" s="52"/>
      <c r="BQ275" s="52"/>
      <c r="BU275" s="13" t="s">
        <v>171</v>
      </c>
    </row>
    <row r="276" spans="1:73" ht="165.6" x14ac:dyDescent="0.3">
      <c r="A276" s="49" t="s">
        <v>882</v>
      </c>
      <c r="B276" s="50">
        <v>45811</v>
      </c>
      <c r="C276" s="50" t="s">
        <v>74</v>
      </c>
      <c r="D276" s="51">
        <v>30698692</v>
      </c>
      <c r="E276" s="51" t="s">
        <v>1078</v>
      </c>
      <c r="F276" s="129">
        <v>45750</v>
      </c>
      <c r="BE276" s="51" t="s">
        <v>1079</v>
      </c>
      <c r="BF276" s="114" t="s">
        <v>1080</v>
      </c>
      <c r="BG276" s="51" t="s">
        <v>87</v>
      </c>
      <c r="BH276" s="51" t="s">
        <v>1054</v>
      </c>
      <c r="BI276" s="51" t="s">
        <v>1081</v>
      </c>
      <c r="BJ276" s="51" t="s">
        <v>1079</v>
      </c>
      <c r="BL276" s="51" t="s">
        <v>1082</v>
      </c>
      <c r="BM276" s="19" t="s">
        <v>107</v>
      </c>
      <c r="BN276" s="115" t="s">
        <v>502</v>
      </c>
      <c r="BO276" s="54" t="s">
        <v>94</v>
      </c>
      <c r="BP276" s="52" t="s">
        <v>1083</v>
      </c>
      <c r="BQ276" s="52"/>
      <c r="BU276" s="23" t="s">
        <v>110</v>
      </c>
    </row>
    <row r="277" spans="1:73" ht="69" x14ac:dyDescent="0.3">
      <c r="A277" s="49" t="s">
        <v>882</v>
      </c>
      <c r="B277" s="50">
        <v>45811</v>
      </c>
      <c r="C277" s="50" t="s">
        <v>74</v>
      </c>
      <c r="D277" s="51">
        <v>30701512</v>
      </c>
      <c r="E277" s="51" t="s">
        <v>1084</v>
      </c>
      <c r="F277" s="129">
        <v>45750</v>
      </c>
      <c r="BE277" s="51" t="s">
        <v>1085</v>
      </c>
      <c r="BF277" s="114" t="s">
        <v>1086</v>
      </c>
      <c r="BG277" s="51" t="s">
        <v>87</v>
      </c>
      <c r="BH277" s="51" t="s">
        <v>1054</v>
      </c>
      <c r="BI277" s="51" t="s">
        <v>1087</v>
      </c>
      <c r="BJ277" s="51" t="s">
        <v>893</v>
      </c>
      <c r="BL277" s="51" t="s">
        <v>1088</v>
      </c>
      <c r="BM277" s="19" t="s">
        <v>107</v>
      </c>
      <c r="BN277" s="115"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129">
        <v>45750</v>
      </c>
      <c r="BE278" s="51" t="s">
        <v>1090</v>
      </c>
      <c r="BF278" s="114" t="s">
        <v>1086</v>
      </c>
      <c r="BG278" s="51" t="s">
        <v>1091</v>
      </c>
      <c r="BH278" s="51" t="s">
        <v>1054</v>
      </c>
      <c r="BI278" s="51" t="s">
        <v>1092</v>
      </c>
      <c r="BJ278" s="51" t="s">
        <v>1090</v>
      </c>
      <c r="BL278" s="51" t="s">
        <v>1093</v>
      </c>
      <c r="BM278" s="19" t="s">
        <v>107</v>
      </c>
      <c r="BN278" s="115" t="s">
        <v>336</v>
      </c>
      <c r="BO278" s="54" t="s">
        <v>94</v>
      </c>
      <c r="BP278" s="52" t="s">
        <v>1094</v>
      </c>
      <c r="BQ278" s="52"/>
      <c r="BU278" s="13" t="s">
        <v>171</v>
      </c>
    </row>
    <row r="279" spans="1:73" ht="55.2" x14ac:dyDescent="0.3">
      <c r="A279" s="49" t="s">
        <v>882</v>
      </c>
      <c r="B279" s="50">
        <v>45814</v>
      </c>
      <c r="C279" s="50" t="s">
        <v>74</v>
      </c>
      <c r="D279" s="51">
        <v>30709259</v>
      </c>
      <c r="E279" s="51" t="s">
        <v>1095</v>
      </c>
      <c r="F279" s="129">
        <v>45753</v>
      </c>
      <c r="BE279" s="51" t="s">
        <v>1086</v>
      </c>
      <c r="BF279" s="114"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129">
        <v>45756</v>
      </c>
      <c r="BE280" s="51" t="s">
        <v>1090</v>
      </c>
      <c r="BF280" s="114" t="s">
        <v>1101</v>
      </c>
      <c r="BG280" s="51" t="s">
        <v>87</v>
      </c>
      <c r="BH280" s="51" t="s">
        <v>1054</v>
      </c>
      <c r="BI280" s="51" t="s">
        <v>1102</v>
      </c>
      <c r="BJ280" s="51" t="s">
        <v>1090</v>
      </c>
      <c r="BL280" s="51" t="s">
        <v>1103</v>
      </c>
      <c r="BM280" s="19" t="s">
        <v>107</v>
      </c>
      <c r="BN280" s="115" t="s">
        <v>336</v>
      </c>
      <c r="BO280" s="54" t="s">
        <v>124</v>
      </c>
      <c r="BP280" s="52"/>
      <c r="BQ280" s="52" t="s">
        <v>1104</v>
      </c>
      <c r="BU280" s="13" t="s">
        <v>171</v>
      </c>
    </row>
    <row r="281" spans="1:73" ht="69" x14ac:dyDescent="0.3">
      <c r="A281" s="49" t="s">
        <v>882</v>
      </c>
      <c r="B281" s="50">
        <v>45818</v>
      </c>
      <c r="C281" s="50" t="s">
        <v>74</v>
      </c>
      <c r="D281" s="51">
        <v>30716641</v>
      </c>
      <c r="E281" s="51" t="s">
        <v>1105</v>
      </c>
      <c r="F281" s="129">
        <v>45757</v>
      </c>
      <c r="BE281" s="51" t="s">
        <v>1079</v>
      </c>
      <c r="BF281" s="114" t="s">
        <v>1106</v>
      </c>
      <c r="BG281" s="51" t="s">
        <v>1079</v>
      </c>
      <c r="BH281" s="51" t="s">
        <v>1054</v>
      </c>
      <c r="BI281" s="51" t="s">
        <v>1107</v>
      </c>
      <c r="BJ281" s="51" t="s">
        <v>1079</v>
      </c>
      <c r="BL281" s="51" t="s">
        <v>1108</v>
      </c>
      <c r="BM281" s="19" t="s">
        <v>107</v>
      </c>
      <c r="BN281" s="115" t="s">
        <v>123</v>
      </c>
      <c r="BO281" s="54" t="s">
        <v>94</v>
      </c>
      <c r="BP281" s="52" t="s">
        <v>1109</v>
      </c>
      <c r="BQ281" s="52" t="s">
        <v>1110</v>
      </c>
      <c r="BU281" s="23" t="s">
        <v>97</v>
      </c>
    </row>
    <row r="282" spans="1:73" ht="69" x14ac:dyDescent="0.3">
      <c r="A282" s="49" t="s">
        <v>882</v>
      </c>
      <c r="B282" s="50">
        <v>45818</v>
      </c>
      <c r="C282" s="50" t="s">
        <v>74</v>
      </c>
      <c r="D282" s="51">
        <v>30717197</v>
      </c>
      <c r="E282" s="51" t="s">
        <v>1095</v>
      </c>
      <c r="F282" s="129">
        <v>45757</v>
      </c>
      <c r="BE282" s="51" t="s">
        <v>1111</v>
      </c>
      <c r="BF282" s="114" t="s">
        <v>1112</v>
      </c>
      <c r="BG282" s="51" t="s">
        <v>1113</v>
      </c>
      <c r="BH282" s="51" t="s">
        <v>270</v>
      </c>
      <c r="BI282" s="51" t="s">
        <v>1114</v>
      </c>
      <c r="BJ282" s="51" t="s">
        <v>1111</v>
      </c>
      <c r="BL282" s="51" t="s">
        <v>1115</v>
      </c>
      <c r="BM282" s="19" t="s">
        <v>107</v>
      </c>
      <c r="BN282" s="115" t="s">
        <v>638</v>
      </c>
      <c r="BO282" s="54" t="s">
        <v>124</v>
      </c>
      <c r="BP282" s="52"/>
      <c r="BQ282" s="52" t="s">
        <v>1116</v>
      </c>
      <c r="BU282" s="13" t="s">
        <v>171</v>
      </c>
    </row>
    <row r="283" spans="1:73" ht="69" x14ac:dyDescent="0.3">
      <c r="A283" s="49" t="s">
        <v>882</v>
      </c>
      <c r="B283" s="50">
        <v>45818</v>
      </c>
      <c r="C283" s="50" t="s">
        <v>74</v>
      </c>
      <c r="D283" s="51">
        <v>30717421</v>
      </c>
      <c r="E283" s="51" t="s">
        <v>1095</v>
      </c>
      <c r="F283" s="129">
        <v>45757</v>
      </c>
      <c r="BE283" s="51" t="s">
        <v>1117</v>
      </c>
      <c r="BF283" s="114" t="s">
        <v>1118</v>
      </c>
      <c r="BG283" s="51" t="s">
        <v>107</v>
      </c>
      <c r="BH283" s="51" t="s">
        <v>1054</v>
      </c>
      <c r="BI283" s="51" t="s">
        <v>1119</v>
      </c>
      <c r="BJ283" s="51" t="s">
        <v>1120</v>
      </c>
      <c r="BL283" s="51" t="s">
        <v>1121</v>
      </c>
      <c r="BM283" s="19" t="s">
        <v>107</v>
      </c>
      <c r="BN283" s="115" t="s">
        <v>638</v>
      </c>
      <c r="BO283" s="54" t="s">
        <v>124</v>
      </c>
      <c r="BP283" s="52"/>
      <c r="BQ283" s="52" t="s">
        <v>1122</v>
      </c>
      <c r="BU283" s="13" t="s">
        <v>171</v>
      </c>
    </row>
    <row r="284" spans="1:73" ht="179.4" x14ac:dyDescent="0.3">
      <c r="A284" s="49" t="s">
        <v>882</v>
      </c>
      <c r="B284" s="50">
        <v>45819</v>
      </c>
      <c r="C284" s="50" t="s">
        <v>74</v>
      </c>
      <c r="D284" s="51">
        <v>30719129</v>
      </c>
      <c r="E284" s="51" t="s">
        <v>1084</v>
      </c>
      <c r="F284" s="129">
        <v>45758</v>
      </c>
      <c r="BE284" s="51" t="s">
        <v>1086</v>
      </c>
      <c r="BF284" s="114" t="s">
        <v>1086</v>
      </c>
      <c r="BG284" s="51" t="s">
        <v>87</v>
      </c>
      <c r="BH284" s="51" t="s">
        <v>1036</v>
      </c>
      <c r="BI284" s="51" t="s">
        <v>1123</v>
      </c>
      <c r="BJ284" s="51" t="s">
        <v>1098</v>
      </c>
      <c r="BL284" s="51" t="s">
        <v>1124</v>
      </c>
      <c r="BM284" s="19" t="s">
        <v>107</v>
      </c>
      <c r="BN284" s="115" t="s">
        <v>153</v>
      </c>
      <c r="BO284" s="54" t="s">
        <v>94</v>
      </c>
      <c r="BP284" s="52" t="s">
        <v>1125</v>
      </c>
      <c r="BQ284" s="52"/>
      <c r="BU284" s="23" t="s">
        <v>110</v>
      </c>
    </row>
    <row r="285" spans="1:73" ht="138" x14ac:dyDescent="0.3">
      <c r="A285" s="49" t="s">
        <v>882</v>
      </c>
      <c r="B285" s="50">
        <v>45819</v>
      </c>
      <c r="C285" s="50" t="s">
        <v>74</v>
      </c>
      <c r="D285" s="51">
        <v>30720470</v>
      </c>
      <c r="E285" s="51" t="s">
        <v>1078</v>
      </c>
      <c r="F285" s="129">
        <v>45758</v>
      </c>
      <c r="BE285" s="51" t="s">
        <v>1086</v>
      </c>
      <c r="BF285" s="114" t="s">
        <v>1086</v>
      </c>
      <c r="BG285" s="51" t="s">
        <v>87</v>
      </c>
      <c r="BH285" s="51" t="s">
        <v>270</v>
      </c>
      <c r="BI285" s="51" t="s">
        <v>1126</v>
      </c>
      <c r="BJ285" s="51"/>
      <c r="BL285" s="51" t="s">
        <v>1127</v>
      </c>
      <c r="BM285" s="19" t="s">
        <v>107</v>
      </c>
      <c r="BN285" s="115" t="s">
        <v>336</v>
      </c>
      <c r="BO285" s="54" t="s">
        <v>94</v>
      </c>
      <c r="BP285" s="52" t="s">
        <v>1128</v>
      </c>
      <c r="BQ285" s="52"/>
      <c r="BU285" s="13" t="s">
        <v>171</v>
      </c>
    </row>
    <row r="286" spans="1:73" ht="179.4" x14ac:dyDescent="0.3">
      <c r="A286" s="49" t="s">
        <v>882</v>
      </c>
      <c r="B286" s="50">
        <v>45821</v>
      </c>
      <c r="C286" s="50" t="s">
        <v>74</v>
      </c>
      <c r="D286" s="51">
        <v>30725338</v>
      </c>
      <c r="E286" s="51" t="s">
        <v>1078</v>
      </c>
      <c r="F286" s="129">
        <v>45760</v>
      </c>
      <c r="BE286" s="51" t="s">
        <v>1079</v>
      </c>
      <c r="BF286" s="114" t="s">
        <v>1129</v>
      </c>
      <c r="BG286" s="51" t="s">
        <v>87</v>
      </c>
      <c r="BH286" s="51" t="s">
        <v>1054</v>
      </c>
      <c r="BI286" s="51" t="s">
        <v>1130</v>
      </c>
      <c r="BJ286" s="51" t="s">
        <v>1079</v>
      </c>
      <c r="BL286" s="51" t="s">
        <v>1131</v>
      </c>
      <c r="BM286" s="115"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129">
        <v>45764</v>
      </c>
      <c r="BE287" s="51" t="s">
        <v>187</v>
      </c>
      <c r="BF287" s="114" t="s">
        <v>1133</v>
      </c>
      <c r="BG287" s="51" t="s">
        <v>1134</v>
      </c>
      <c r="BH287" s="51" t="s">
        <v>1054</v>
      </c>
      <c r="BI287" s="51" t="s">
        <v>1135</v>
      </c>
      <c r="BJ287" s="51" t="s">
        <v>187</v>
      </c>
      <c r="BL287" s="51" t="s">
        <v>1136</v>
      </c>
      <c r="BM287" s="115"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129">
        <v>45764</v>
      </c>
      <c r="BE288" s="51" t="s">
        <v>1086</v>
      </c>
      <c r="BF288" s="114"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129">
        <v>45764</v>
      </c>
      <c r="BE289" s="51" t="s">
        <v>1141</v>
      </c>
      <c r="BF289" s="114" t="s">
        <v>1141</v>
      </c>
      <c r="BG289" s="51" t="s">
        <v>1141</v>
      </c>
      <c r="BH289" s="51" t="s">
        <v>1141</v>
      </c>
      <c r="BI289" s="51" t="s">
        <v>1141</v>
      </c>
      <c r="BJ289" s="51" t="s">
        <v>1141</v>
      </c>
      <c r="BL289" s="51" t="s">
        <v>1141</v>
      </c>
      <c r="BM289" s="115"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129">
        <v>45765</v>
      </c>
      <c r="BE290" s="51" t="s">
        <v>1117</v>
      </c>
      <c r="BF290" s="114"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129">
        <v>45764</v>
      </c>
      <c r="BE291" s="51" t="s">
        <v>1147</v>
      </c>
      <c r="BF291" s="114" t="s">
        <v>1147</v>
      </c>
      <c r="BG291" s="51" t="s">
        <v>1147</v>
      </c>
      <c r="BH291" s="51" t="s">
        <v>1147</v>
      </c>
      <c r="BI291" s="51" t="s">
        <v>1147</v>
      </c>
      <c r="BJ291" s="51" t="s">
        <v>1147</v>
      </c>
      <c r="BL291" s="51" t="s">
        <v>1147</v>
      </c>
      <c r="BM291" s="115"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129">
        <v>45767</v>
      </c>
      <c r="BE292" s="51" t="s">
        <v>1058</v>
      </c>
      <c r="BF292" s="114" t="s">
        <v>1148</v>
      </c>
      <c r="BG292" s="51" t="s">
        <v>87</v>
      </c>
      <c r="BH292" s="51" t="s">
        <v>1036</v>
      </c>
      <c r="BI292" s="51" t="s">
        <v>1149</v>
      </c>
      <c r="BJ292" s="51" t="s">
        <v>1058</v>
      </c>
      <c r="BL292" s="51" t="s">
        <v>1150</v>
      </c>
      <c r="BM292" s="19" t="s">
        <v>107</v>
      </c>
      <c r="BN292" s="115" t="s">
        <v>153</v>
      </c>
      <c r="BO292" s="54" t="s">
        <v>94</v>
      </c>
      <c r="BP292" s="52" t="s">
        <v>1151</v>
      </c>
      <c r="BQ292" s="52"/>
      <c r="BU292" s="23" t="s">
        <v>110</v>
      </c>
    </row>
    <row r="293" spans="1:73" ht="82.8" x14ac:dyDescent="0.3">
      <c r="A293" s="49" t="s">
        <v>882</v>
      </c>
      <c r="B293" s="50">
        <v>45828</v>
      </c>
      <c r="C293" s="50" t="s">
        <v>74</v>
      </c>
      <c r="D293" s="51">
        <v>38362622</v>
      </c>
      <c r="E293" s="51" t="s">
        <v>1146</v>
      </c>
      <c r="F293" s="129">
        <v>45767</v>
      </c>
      <c r="BE293" s="51" t="s">
        <v>1152</v>
      </c>
      <c r="BF293" s="114" t="s">
        <v>1086</v>
      </c>
      <c r="BG293" s="51" t="s">
        <v>1153</v>
      </c>
      <c r="BH293" s="51"/>
      <c r="BI293" s="51" t="s">
        <v>1153</v>
      </c>
      <c r="BJ293" s="51" t="s">
        <v>1086</v>
      </c>
      <c r="BL293" s="51" t="s">
        <v>1153</v>
      </c>
      <c r="BM293" s="115"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129">
        <v>45770</v>
      </c>
      <c r="BE294" s="51" t="s">
        <v>1154</v>
      </c>
      <c r="BF294" s="114" t="s">
        <v>1086</v>
      </c>
      <c r="BG294" s="51" t="s">
        <v>87</v>
      </c>
      <c r="BH294" s="51" t="s">
        <v>1086</v>
      </c>
      <c r="BI294" s="51" t="s">
        <v>1154</v>
      </c>
      <c r="BJ294" s="51" t="s">
        <v>1086</v>
      </c>
      <c r="BL294" s="51" t="s">
        <v>1154</v>
      </c>
      <c r="BM294" s="115"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129">
        <v>45770</v>
      </c>
      <c r="BE295" s="51" t="s">
        <v>1156</v>
      </c>
      <c r="BF295" s="114" t="s">
        <v>1086</v>
      </c>
      <c r="BG295" s="51" t="s">
        <v>1156</v>
      </c>
      <c r="BH295" s="51" t="s">
        <v>1086</v>
      </c>
      <c r="BI295" s="51" t="s">
        <v>1157</v>
      </c>
      <c r="BJ295" s="51" t="s">
        <v>1086</v>
      </c>
      <c r="BL295" s="51" t="s">
        <v>1157</v>
      </c>
      <c r="BM295" s="115"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129">
        <v>45772</v>
      </c>
      <c r="BE296" s="51" t="s">
        <v>893</v>
      </c>
      <c r="BF296" s="114" t="s">
        <v>1086</v>
      </c>
      <c r="BG296" s="51" t="s">
        <v>87</v>
      </c>
      <c r="BH296" s="51" t="s">
        <v>404</v>
      </c>
      <c r="BI296" s="51" t="s">
        <v>1158</v>
      </c>
      <c r="BJ296" s="51" t="s">
        <v>1159</v>
      </c>
      <c r="BL296" s="51" t="s">
        <v>1160</v>
      </c>
      <c r="BM296" s="115"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129">
        <v>45772</v>
      </c>
      <c r="BE297" s="51" t="s">
        <v>1162</v>
      </c>
      <c r="BF297" s="114" t="s">
        <v>1163</v>
      </c>
      <c r="BG297" s="51" t="s">
        <v>917</v>
      </c>
      <c r="BH297" s="51" t="s">
        <v>270</v>
      </c>
      <c r="BI297" s="51" t="s">
        <v>1164</v>
      </c>
      <c r="BJ297" s="51" t="s">
        <v>1162</v>
      </c>
      <c r="BL297" s="51" t="s">
        <v>1165</v>
      </c>
      <c r="BM297" s="115"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129">
        <v>45774</v>
      </c>
      <c r="BE298" s="51" t="s">
        <v>1168</v>
      </c>
      <c r="BF298" s="114" t="s">
        <v>1169</v>
      </c>
      <c r="BG298" s="51" t="s">
        <v>1048</v>
      </c>
      <c r="BH298" s="51" t="s">
        <v>270</v>
      </c>
      <c r="BI298" s="51" t="s">
        <v>1170</v>
      </c>
      <c r="BJ298" s="51" t="s">
        <v>1171</v>
      </c>
      <c r="BL298" s="51" t="s">
        <v>1172</v>
      </c>
      <c r="BM298" s="115" t="s">
        <v>145</v>
      </c>
      <c r="BN298" s="54" t="s">
        <v>318</v>
      </c>
      <c r="BO298" s="54" t="s">
        <v>94</v>
      </c>
      <c r="BP298" s="52" t="s">
        <v>1161</v>
      </c>
      <c r="BQ298" s="52" t="s">
        <v>663</v>
      </c>
      <c r="BU298" s="23" t="s">
        <v>110</v>
      </c>
    </row>
    <row r="299" spans="1:73" ht="55.2" x14ac:dyDescent="0.3">
      <c r="A299" s="92" t="s">
        <v>1173</v>
      </c>
      <c r="B299" s="116">
        <v>45813</v>
      </c>
      <c r="C299" s="116" t="s">
        <v>74</v>
      </c>
      <c r="D299" s="93">
        <v>38263307</v>
      </c>
      <c r="E299" s="117" t="s">
        <v>1174</v>
      </c>
      <c r="F299" s="129">
        <v>45750</v>
      </c>
      <c r="G299" s="93"/>
      <c r="BE299" s="93" t="s">
        <v>1175</v>
      </c>
      <c r="BG299" s="93" t="s">
        <v>87</v>
      </c>
      <c r="BH299" s="93" t="s">
        <v>88</v>
      </c>
      <c r="BI299" s="118" t="s">
        <v>1176</v>
      </c>
      <c r="BJ299" s="118" t="s">
        <v>595</v>
      </c>
      <c r="BL299" s="119" t="s">
        <v>1177</v>
      </c>
      <c r="BM299" s="93" t="s">
        <v>177</v>
      </c>
      <c r="BN299" s="28" t="s">
        <v>687</v>
      </c>
      <c r="BO299" s="93" t="s">
        <v>124</v>
      </c>
      <c r="BP299" s="120"/>
      <c r="BQ299" s="118" t="s">
        <v>1178</v>
      </c>
      <c r="BU299" s="13" t="s">
        <v>171</v>
      </c>
    </row>
    <row r="300" spans="1:73" ht="96.6" x14ac:dyDescent="0.3">
      <c r="A300" s="92" t="s">
        <v>1173</v>
      </c>
      <c r="B300" s="116">
        <v>45813</v>
      </c>
      <c r="C300" s="116" t="s">
        <v>74</v>
      </c>
      <c r="D300" s="93" t="s">
        <v>1179</v>
      </c>
      <c r="E300" s="93" t="s">
        <v>1180</v>
      </c>
      <c r="F300" s="129">
        <v>45751</v>
      </c>
      <c r="G300" s="93"/>
      <c r="BE300" s="93" t="s">
        <v>1181</v>
      </c>
      <c r="BG300" s="93" t="s">
        <v>1182</v>
      </c>
      <c r="BH300" s="93" t="s">
        <v>88</v>
      </c>
      <c r="BI300" s="118" t="s">
        <v>1183</v>
      </c>
      <c r="BJ300" s="118" t="s">
        <v>1181</v>
      </c>
      <c r="BL300" s="119" t="s">
        <v>1184</v>
      </c>
      <c r="BM300" s="93" t="s">
        <v>177</v>
      </c>
      <c r="BN300" s="17" t="s">
        <v>205</v>
      </c>
      <c r="BO300" s="93" t="s">
        <v>124</v>
      </c>
      <c r="BP300" s="120"/>
      <c r="BQ300" s="118" t="s">
        <v>1185</v>
      </c>
      <c r="BU300" s="13" t="s">
        <v>171</v>
      </c>
    </row>
    <row r="301" spans="1:73" ht="41.4" x14ac:dyDescent="0.3">
      <c r="A301" s="92" t="s">
        <v>1173</v>
      </c>
      <c r="B301" s="116">
        <v>45817</v>
      </c>
      <c r="C301" s="116" t="s">
        <v>74</v>
      </c>
      <c r="D301" s="93" t="s">
        <v>1186</v>
      </c>
      <c r="E301" s="117" t="s">
        <v>1187</v>
      </c>
      <c r="F301" s="129">
        <v>45752</v>
      </c>
      <c r="G301" s="93"/>
      <c r="BE301" s="93" t="s">
        <v>1188</v>
      </c>
      <c r="BG301" s="93" t="s">
        <v>87</v>
      </c>
      <c r="BH301" s="93" t="s">
        <v>88</v>
      </c>
      <c r="BI301" s="118" t="s">
        <v>1189</v>
      </c>
      <c r="BJ301" s="118" t="s">
        <v>1188</v>
      </c>
      <c r="BL301" s="121" t="s">
        <v>1190</v>
      </c>
      <c r="BM301" s="93" t="s">
        <v>1191</v>
      </c>
      <c r="BN301" s="93" t="s">
        <v>1191</v>
      </c>
      <c r="BO301" s="93" t="s">
        <v>1191</v>
      </c>
      <c r="BP301" s="120" t="s">
        <v>1191</v>
      </c>
      <c r="BQ301" s="118" t="s">
        <v>1191</v>
      </c>
      <c r="BU301" s="23"/>
    </row>
    <row r="302" spans="1:73" ht="110.4" x14ac:dyDescent="0.3">
      <c r="A302" s="92" t="s">
        <v>1173</v>
      </c>
      <c r="B302" s="122">
        <v>45818</v>
      </c>
      <c r="C302" s="116" t="s">
        <v>74</v>
      </c>
      <c r="D302" s="123" t="s">
        <v>1192</v>
      </c>
      <c r="E302" s="123" t="s">
        <v>1193</v>
      </c>
      <c r="F302" s="129">
        <v>45756</v>
      </c>
      <c r="G302" s="124"/>
      <c r="BE302" s="125" t="s">
        <v>1079</v>
      </c>
      <c r="BG302" s="125" t="s">
        <v>87</v>
      </c>
      <c r="BH302" s="125" t="s">
        <v>88</v>
      </c>
      <c r="BI302" s="126" t="s">
        <v>1194</v>
      </c>
      <c r="BJ302" s="126" t="s">
        <v>1195</v>
      </c>
      <c r="BL302" s="126" t="s">
        <v>1196</v>
      </c>
      <c r="BM302" s="93" t="s">
        <v>145</v>
      </c>
      <c r="BN302" s="93" t="s">
        <v>241</v>
      </c>
      <c r="BO302" s="93" t="s">
        <v>94</v>
      </c>
      <c r="BP302" s="127" t="s">
        <v>1197</v>
      </c>
      <c r="BQ302" s="118"/>
      <c r="BU302" s="23" t="s">
        <v>110</v>
      </c>
    </row>
    <row r="303" spans="1:73" ht="55.2" x14ac:dyDescent="0.3">
      <c r="A303" s="92" t="s">
        <v>1173</v>
      </c>
      <c r="B303" s="122">
        <v>45819</v>
      </c>
      <c r="C303" s="116" t="s">
        <v>74</v>
      </c>
      <c r="D303" s="123" t="s">
        <v>1198</v>
      </c>
      <c r="E303" s="123" t="s">
        <v>1199</v>
      </c>
      <c r="F303" s="129">
        <v>45757</v>
      </c>
      <c r="G303" s="93"/>
      <c r="BE303" s="125" t="s">
        <v>1188</v>
      </c>
      <c r="BG303" s="125" t="s">
        <v>87</v>
      </c>
      <c r="BH303" s="125" t="s">
        <v>88</v>
      </c>
      <c r="BI303" s="126" t="s">
        <v>1200</v>
      </c>
      <c r="BJ303" s="126" t="s">
        <v>1188</v>
      </c>
      <c r="BL303" s="126" t="s">
        <v>1201</v>
      </c>
      <c r="BM303" s="93" t="s">
        <v>145</v>
      </c>
      <c r="BN303" s="93" t="s">
        <v>797</v>
      </c>
      <c r="BO303" s="93" t="s">
        <v>94</v>
      </c>
      <c r="BP303" s="127" t="s">
        <v>1202</v>
      </c>
      <c r="BQ303" s="127"/>
      <c r="BU303" s="23" t="s">
        <v>97</v>
      </c>
    </row>
    <row r="304" spans="1:73" ht="55.2" x14ac:dyDescent="0.3">
      <c r="A304" s="92" t="s">
        <v>1173</v>
      </c>
      <c r="B304" s="122">
        <v>45820</v>
      </c>
      <c r="C304" s="116" t="s">
        <v>74</v>
      </c>
      <c r="D304" s="123" t="s">
        <v>1203</v>
      </c>
      <c r="E304" s="123" t="s">
        <v>1193</v>
      </c>
      <c r="F304" s="129">
        <v>45758</v>
      </c>
      <c r="G304" s="93"/>
      <c r="BE304" s="125" t="s">
        <v>1058</v>
      </c>
      <c r="BG304" s="125" t="s">
        <v>87</v>
      </c>
      <c r="BH304" s="125" t="s">
        <v>88</v>
      </c>
      <c r="BI304" s="126" t="s">
        <v>1204</v>
      </c>
      <c r="BJ304" s="126" t="s">
        <v>1058</v>
      </c>
      <c r="BL304" s="126" t="s">
        <v>1205</v>
      </c>
      <c r="BM304" s="93" t="s">
        <v>107</v>
      </c>
      <c r="BN304" s="93" t="s">
        <v>123</v>
      </c>
      <c r="BO304" s="93" t="s">
        <v>124</v>
      </c>
      <c r="BP304" s="127"/>
      <c r="BQ304" s="118" t="s">
        <v>1206</v>
      </c>
      <c r="BU304" s="23" t="s">
        <v>97</v>
      </c>
    </row>
    <row r="305" spans="1:73" ht="331.2" x14ac:dyDescent="0.3">
      <c r="A305" s="92" t="s">
        <v>1173</v>
      </c>
      <c r="B305" s="122">
        <v>45824</v>
      </c>
      <c r="C305" s="116" t="s">
        <v>74</v>
      </c>
      <c r="D305" s="123" t="s">
        <v>1207</v>
      </c>
      <c r="E305" s="123" t="s">
        <v>1208</v>
      </c>
      <c r="F305" s="129">
        <v>45758</v>
      </c>
      <c r="G305" s="93"/>
      <c r="BE305" s="125" t="s">
        <v>1209</v>
      </c>
      <c r="BG305" s="125" t="s">
        <v>87</v>
      </c>
      <c r="BH305" s="125" t="s">
        <v>404</v>
      </c>
      <c r="BI305" s="126" t="s">
        <v>1210</v>
      </c>
      <c r="BJ305" s="126" t="s">
        <v>1209</v>
      </c>
      <c r="BL305" s="126" t="s">
        <v>1211</v>
      </c>
      <c r="BM305" s="93" t="s">
        <v>145</v>
      </c>
      <c r="BN305" s="93" t="s">
        <v>444</v>
      </c>
      <c r="BO305" s="93" t="s">
        <v>94</v>
      </c>
      <c r="BP305" s="127" t="s">
        <v>1212</v>
      </c>
      <c r="BQ305" s="118"/>
      <c r="BU305" s="23" t="s">
        <v>97</v>
      </c>
    </row>
    <row r="306" spans="1:73" ht="69" x14ac:dyDescent="0.3">
      <c r="A306" s="92" t="s">
        <v>1173</v>
      </c>
      <c r="B306" s="122">
        <v>45824</v>
      </c>
      <c r="C306" s="116" t="s">
        <v>74</v>
      </c>
      <c r="D306" s="123" t="s">
        <v>1213</v>
      </c>
      <c r="E306" s="123" t="s">
        <v>1187</v>
      </c>
      <c r="F306" s="129">
        <v>45760</v>
      </c>
      <c r="G306" s="93"/>
      <c r="BE306" s="125" t="s">
        <v>1058</v>
      </c>
      <c r="BG306" s="125" t="s">
        <v>87</v>
      </c>
      <c r="BH306" s="125" t="s">
        <v>88</v>
      </c>
      <c r="BI306" s="126" t="s">
        <v>1214</v>
      </c>
      <c r="BJ306" s="126" t="s">
        <v>1215</v>
      </c>
      <c r="BL306" s="126" t="s">
        <v>1216</v>
      </c>
      <c r="BM306" s="93" t="s">
        <v>107</v>
      </c>
      <c r="BN306" s="93" t="s">
        <v>438</v>
      </c>
      <c r="BO306" s="93" t="s">
        <v>124</v>
      </c>
      <c r="BP306" s="127"/>
      <c r="BQ306" s="118" t="s">
        <v>1217</v>
      </c>
      <c r="BU306" s="13" t="s">
        <v>171</v>
      </c>
    </row>
    <row r="307" spans="1:73" ht="55.2" x14ac:dyDescent="0.3">
      <c r="A307" s="92" t="s">
        <v>1173</v>
      </c>
      <c r="B307" s="122">
        <v>45824</v>
      </c>
      <c r="C307" s="116" t="s">
        <v>74</v>
      </c>
      <c r="D307" s="123" t="s">
        <v>1218</v>
      </c>
      <c r="E307" s="123" t="s">
        <v>1219</v>
      </c>
      <c r="F307" s="129">
        <v>45760</v>
      </c>
      <c r="G307" s="93"/>
      <c r="BE307" s="125" t="s">
        <v>1220</v>
      </c>
      <c r="BG307" s="125" t="s">
        <v>1221</v>
      </c>
      <c r="BH307" s="125" t="s">
        <v>88</v>
      </c>
      <c r="BI307" s="126" t="s">
        <v>1222</v>
      </c>
      <c r="BJ307" s="126">
        <v>30676542</v>
      </c>
      <c r="BL307" s="126" t="s">
        <v>1223</v>
      </c>
      <c r="BM307" s="93" t="s">
        <v>107</v>
      </c>
      <c r="BN307" s="93" t="s">
        <v>638</v>
      </c>
      <c r="BO307" s="93" t="s">
        <v>124</v>
      </c>
      <c r="BP307" s="118"/>
      <c r="BQ307" s="118" t="s">
        <v>1224</v>
      </c>
      <c r="BU307" s="13" t="s">
        <v>171</v>
      </c>
    </row>
    <row r="308" spans="1:73" ht="110.4" x14ac:dyDescent="0.3">
      <c r="A308" s="92" t="s">
        <v>1173</v>
      </c>
      <c r="B308" s="116">
        <v>45826</v>
      </c>
      <c r="C308" s="116" t="s">
        <v>74</v>
      </c>
      <c r="D308" s="92">
        <v>38345872</v>
      </c>
      <c r="E308" s="92" t="s">
        <v>1225</v>
      </c>
      <c r="F308" s="129">
        <v>45763</v>
      </c>
      <c r="G308" s="93" t="s">
        <v>1226</v>
      </c>
      <c r="BE308" s="125" t="s">
        <v>1227</v>
      </c>
      <c r="BG308" s="125" t="s">
        <v>941</v>
      </c>
      <c r="BH308" s="125" t="s">
        <v>404</v>
      </c>
      <c r="BI308" s="126" t="s">
        <v>1228</v>
      </c>
      <c r="BJ308" s="126" t="s">
        <v>1227</v>
      </c>
      <c r="BL308" s="126" t="s">
        <v>1229</v>
      </c>
      <c r="BM308" s="93" t="s">
        <v>145</v>
      </c>
      <c r="BN308" s="93" t="s">
        <v>571</v>
      </c>
      <c r="BO308" s="93" t="s">
        <v>94</v>
      </c>
      <c r="BP308" s="118"/>
      <c r="BQ308" s="118"/>
      <c r="BU308" s="23" t="s">
        <v>97</v>
      </c>
    </row>
    <row r="309" spans="1:73" ht="69" x14ac:dyDescent="0.3">
      <c r="A309" s="123" t="s">
        <v>1173</v>
      </c>
      <c r="B309" s="122">
        <v>45826</v>
      </c>
      <c r="C309" s="116" t="s">
        <v>74</v>
      </c>
      <c r="D309" s="123" t="s">
        <v>1230</v>
      </c>
      <c r="E309" s="123" t="s">
        <v>1193</v>
      </c>
      <c r="F309" s="129">
        <v>45764</v>
      </c>
      <c r="G309" s="93"/>
      <c r="BE309" s="125" t="s">
        <v>1079</v>
      </c>
      <c r="BG309" s="125" t="s">
        <v>87</v>
      </c>
      <c r="BH309" s="125" t="s">
        <v>88</v>
      </c>
      <c r="BI309" s="126" t="s">
        <v>1231</v>
      </c>
      <c r="BJ309" s="126" t="s">
        <v>1195</v>
      </c>
      <c r="BL309" s="126" t="s">
        <v>1232</v>
      </c>
      <c r="BM309" s="93" t="s">
        <v>107</v>
      </c>
      <c r="BN309" s="93" t="s">
        <v>336</v>
      </c>
      <c r="BO309" s="93" t="s">
        <v>124</v>
      </c>
      <c r="BP309" s="118"/>
      <c r="BQ309" s="118" t="s">
        <v>1233</v>
      </c>
      <c r="BU309" s="13" t="s">
        <v>171</v>
      </c>
    </row>
    <row r="310" spans="1:73" ht="303.60000000000002" x14ac:dyDescent="0.3">
      <c r="A310" s="123" t="s">
        <v>1234</v>
      </c>
      <c r="B310" s="122">
        <v>45817</v>
      </c>
      <c r="C310" s="122" t="s">
        <v>74</v>
      </c>
      <c r="D310" s="123">
        <v>38290433</v>
      </c>
      <c r="E310" s="123" t="s">
        <v>1235</v>
      </c>
      <c r="F310" s="129">
        <v>45753</v>
      </c>
      <c r="G310" s="124"/>
      <c r="BE310" s="125" t="s">
        <v>1236</v>
      </c>
      <c r="BG310" s="125" t="s">
        <v>917</v>
      </c>
      <c r="BH310" s="125" t="s">
        <v>1237</v>
      </c>
      <c r="BI310" s="126" t="s">
        <v>1238</v>
      </c>
      <c r="BJ310" s="126" t="s">
        <v>1239</v>
      </c>
      <c r="BL310" s="126" t="s">
        <v>1240</v>
      </c>
      <c r="BM310" s="124" t="s">
        <v>145</v>
      </c>
      <c r="BN310" s="31" t="s">
        <v>475</v>
      </c>
      <c r="BO310" s="124" t="s">
        <v>94</v>
      </c>
      <c r="BP310" s="127" t="s">
        <v>1241</v>
      </c>
      <c r="BQ310" s="127"/>
      <c r="BU310" s="23" t="s">
        <v>97</v>
      </c>
    </row>
    <row r="311" spans="1:73" ht="55.2" x14ac:dyDescent="0.3">
      <c r="A311" s="123" t="s">
        <v>1234</v>
      </c>
      <c r="B311" s="122">
        <v>45817</v>
      </c>
      <c r="C311" s="122" t="s">
        <v>74</v>
      </c>
      <c r="D311" s="123">
        <v>38291393</v>
      </c>
      <c r="E311" s="123" t="s">
        <v>1235</v>
      </c>
      <c r="F311" s="129">
        <v>45753</v>
      </c>
      <c r="G311" s="124"/>
      <c r="BE311" s="125" t="s">
        <v>1236</v>
      </c>
      <c r="BG311" s="125" t="s">
        <v>1242</v>
      </c>
      <c r="BH311" s="125" t="s">
        <v>1237</v>
      </c>
      <c r="BI311" s="126" t="s">
        <v>1243</v>
      </c>
      <c r="BJ311" s="126" t="s">
        <v>1239</v>
      </c>
      <c r="BL311" s="126" t="s">
        <v>1244</v>
      </c>
      <c r="BM311" s="124" t="s">
        <v>177</v>
      </c>
      <c r="BN311" s="17" t="s">
        <v>272</v>
      </c>
      <c r="BO311" s="124" t="s">
        <v>124</v>
      </c>
      <c r="BP311" s="127"/>
      <c r="BQ311" s="127"/>
      <c r="BU311" s="13" t="s">
        <v>171</v>
      </c>
    </row>
    <row r="312" spans="1:73" ht="41.4" x14ac:dyDescent="0.3">
      <c r="A312" s="123" t="s">
        <v>1234</v>
      </c>
      <c r="B312" s="122">
        <v>45817</v>
      </c>
      <c r="C312" s="122" t="s">
        <v>74</v>
      </c>
      <c r="D312" s="123">
        <v>38291894</v>
      </c>
      <c r="E312" s="123" t="s">
        <v>1245</v>
      </c>
      <c r="F312" s="129">
        <v>45751</v>
      </c>
      <c r="G312" s="124"/>
      <c r="BE312" s="125" t="s">
        <v>598</v>
      </c>
      <c r="BG312" s="125" t="s">
        <v>1048</v>
      </c>
      <c r="BH312" s="125" t="s">
        <v>1237</v>
      </c>
      <c r="BI312" s="126" t="s">
        <v>1246</v>
      </c>
      <c r="BJ312" s="126" t="s">
        <v>1247</v>
      </c>
      <c r="BL312" s="126" t="s">
        <v>1248</v>
      </c>
      <c r="BM312" s="124" t="s">
        <v>107</v>
      </c>
      <c r="BN312" s="17" t="s">
        <v>220</v>
      </c>
      <c r="BO312" s="124" t="s">
        <v>124</v>
      </c>
      <c r="BP312" s="127"/>
      <c r="BQ312" s="127"/>
      <c r="BU312" s="23" t="s">
        <v>110</v>
      </c>
    </row>
    <row r="313" spans="1:73" ht="110.4" x14ac:dyDescent="0.3">
      <c r="A313" s="123" t="s">
        <v>1234</v>
      </c>
      <c r="B313" s="122">
        <v>45818</v>
      </c>
      <c r="C313" s="122" t="s">
        <v>74</v>
      </c>
      <c r="D313" s="123">
        <v>38298347</v>
      </c>
      <c r="E313" s="123" t="s">
        <v>1235</v>
      </c>
      <c r="F313" s="129">
        <v>45756</v>
      </c>
      <c r="G313" s="124"/>
      <c r="BE313" s="125" t="s">
        <v>1249</v>
      </c>
      <c r="BG313" s="125" t="s">
        <v>1250</v>
      </c>
      <c r="BH313" s="125" t="s">
        <v>270</v>
      </c>
      <c r="BI313" s="126" t="s">
        <v>1251</v>
      </c>
      <c r="BJ313" s="126" t="s">
        <v>1249</v>
      </c>
      <c r="BL313" s="126" t="s">
        <v>1252</v>
      </c>
      <c r="BM313" s="124" t="s">
        <v>177</v>
      </c>
      <c r="BN313" s="28" t="s">
        <v>715</v>
      </c>
      <c r="BO313" s="124" t="s">
        <v>124</v>
      </c>
      <c r="BP313" s="127"/>
      <c r="BQ313" s="127" t="s">
        <v>1253</v>
      </c>
      <c r="BU313" s="13" t="s">
        <v>171</v>
      </c>
    </row>
    <row r="314" spans="1:73" ht="55.2" x14ac:dyDescent="0.3">
      <c r="A314" s="123" t="s">
        <v>1234</v>
      </c>
      <c r="B314" s="122">
        <v>45820</v>
      </c>
      <c r="C314" s="122" t="s">
        <v>74</v>
      </c>
      <c r="D314" s="123">
        <v>38313360</v>
      </c>
      <c r="E314" s="123" t="s">
        <v>1235</v>
      </c>
      <c r="F314" s="129">
        <v>45753</v>
      </c>
      <c r="G314" s="124"/>
      <c r="BE314" s="125" t="s">
        <v>1254</v>
      </c>
      <c r="BG314" s="125" t="s">
        <v>1048</v>
      </c>
      <c r="BH314" s="125" t="s">
        <v>270</v>
      </c>
      <c r="BI314" s="126" t="s">
        <v>1255</v>
      </c>
      <c r="BJ314" s="126" t="s">
        <v>1254</v>
      </c>
      <c r="BL314" s="126" t="s">
        <v>1256</v>
      </c>
      <c r="BM314" s="124" t="s">
        <v>107</v>
      </c>
      <c r="BN314" s="124" t="s">
        <v>336</v>
      </c>
      <c r="BO314" s="124" t="s">
        <v>94</v>
      </c>
      <c r="BP314" s="127" t="s">
        <v>1257</v>
      </c>
      <c r="BQ314" s="127"/>
      <c r="BU314" s="13" t="s">
        <v>171</v>
      </c>
    </row>
    <row r="315" spans="1:73" ht="124.2" x14ac:dyDescent="0.3">
      <c r="A315" s="123" t="s">
        <v>1234</v>
      </c>
      <c r="B315" s="122">
        <v>45820</v>
      </c>
      <c r="C315" s="122" t="s">
        <v>74</v>
      </c>
      <c r="D315" s="123">
        <v>38317903</v>
      </c>
      <c r="E315" s="123" t="s">
        <v>1235</v>
      </c>
      <c r="F315" s="129">
        <v>45758</v>
      </c>
      <c r="G315" s="124"/>
      <c r="BE315" s="125" t="s">
        <v>1258</v>
      </c>
      <c r="BG315" s="125" t="s">
        <v>1048</v>
      </c>
      <c r="BH315" s="125" t="s">
        <v>1237</v>
      </c>
      <c r="BI315" s="126" t="s">
        <v>1259</v>
      </c>
      <c r="BJ315" s="126" t="s">
        <v>1247</v>
      </c>
      <c r="BL315" s="126" t="s">
        <v>1260</v>
      </c>
      <c r="BM315" s="124" t="s">
        <v>92</v>
      </c>
      <c r="BN315" s="124" t="s">
        <v>93</v>
      </c>
      <c r="BO315" s="124" t="s">
        <v>94</v>
      </c>
      <c r="BP315" s="127" t="s">
        <v>1261</v>
      </c>
      <c r="BQ315" s="127"/>
      <c r="BU315" s="23" t="s">
        <v>97</v>
      </c>
    </row>
    <row r="316" spans="1:73" ht="165.6" x14ac:dyDescent="0.3">
      <c r="A316" s="123" t="s">
        <v>1234</v>
      </c>
      <c r="B316" s="122">
        <v>45826</v>
      </c>
      <c r="C316" s="122" t="s">
        <v>74</v>
      </c>
      <c r="D316" s="123">
        <v>38344919</v>
      </c>
      <c r="E316" s="123" t="s">
        <v>1245</v>
      </c>
      <c r="F316" s="129">
        <v>45764</v>
      </c>
      <c r="G316" s="124"/>
      <c r="BE316" s="125" t="s">
        <v>608</v>
      </c>
      <c r="BG316" s="125" t="s">
        <v>1048</v>
      </c>
      <c r="BH316" s="125" t="s">
        <v>404</v>
      </c>
      <c r="BI316" s="126" t="s">
        <v>1262</v>
      </c>
      <c r="BJ316" s="126" t="s">
        <v>1263</v>
      </c>
      <c r="BL316" s="126" t="s">
        <v>1264</v>
      </c>
      <c r="BM316" s="124" t="s">
        <v>177</v>
      </c>
      <c r="BN316" s="28" t="s">
        <v>687</v>
      </c>
      <c r="BO316" s="124" t="s">
        <v>124</v>
      </c>
      <c r="BP316" s="127"/>
      <c r="BQ316" s="127" t="s">
        <v>1265</v>
      </c>
      <c r="BU316" s="13" t="s">
        <v>171</v>
      </c>
    </row>
    <row r="317" spans="1:73" ht="55.2" x14ac:dyDescent="0.3">
      <c r="A317" s="123" t="s">
        <v>1234</v>
      </c>
      <c r="B317" s="122">
        <v>45828</v>
      </c>
      <c r="C317" s="122" t="s">
        <v>74</v>
      </c>
      <c r="D317" s="123">
        <v>38356342</v>
      </c>
      <c r="E317" s="123" t="s">
        <v>1266</v>
      </c>
      <c r="F317" s="129">
        <v>45765</v>
      </c>
      <c r="G317" s="124"/>
      <c r="BE317" s="125" t="s">
        <v>1267</v>
      </c>
      <c r="BG317" s="125" t="s">
        <v>1268</v>
      </c>
      <c r="BH317" s="125" t="s">
        <v>404</v>
      </c>
      <c r="BI317" s="126" t="s">
        <v>1269</v>
      </c>
      <c r="BJ317" s="126" t="s">
        <v>1267</v>
      </c>
      <c r="BL317" s="126" t="s">
        <v>1270</v>
      </c>
      <c r="BM317" s="124" t="s">
        <v>177</v>
      </c>
      <c r="BN317" s="17" t="s">
        <v>205</v>
      </c>
      <c r="BO317" s="124" t="s">
        <v>94</v>
      </c>
      <c r="BP317" s="127" t="s">
        <v>1271</v>
      </c>
      <c r="BQ317" s="127"/>
      <c r="BU317" s="13" t="s">
        <v>171</v>
      </c>
    </row>
    <row r="318" spans="1:73" ht="69" x14ac:dyDescent="0.3">
      <c r="A318" s="123" t="s">
        <v>1234</v>
      </c>
      <c r="B318" s="122">
        <v>45828</v>
      </c>
      <c r="C318" s="122" t="s">
        <v>74</v>
      </c>
      <c r="D318" s="123">
        <v>38357500</v>
      </c>
      <c r="E318" s="123" t="s">
        <v>1235</v>
      </c>
      <c r="F318" s="129">
        <v>45766</v>
      </c>
      <c r="G318" s="124"/>
      <c r="BE318" s="125" t="s">
        <v>1272</v>
      </c>
      <c r="BG318" s="125" t="s">
        <v>1268</v>
      </c>
      <c r="BH318" s="125" t="s">
        <v>88</v>
      </c>
      <c r="BI318" s="126" t="s">
        <v>1273</v>
      </c>
      <c r="BJ318" s="126" t="s">
        <v>1247</v>
      </c>
      <c r="BL318" s="126" t="s">
        <v>1274</v>
      </c>
      <c r="BM318" s="124" t="s">
        <v>92</v>
      </c>
      <c r="BN318" s="124" t="s">
        <v>93</v>
      </c>
      <c r="BO318" s="124" t="s">
        <v>124</v>
      </c>
      <c r="BP318" s="127"/>
      <c r="BQ318" s="127" t="s">
        <v>1275</v>
      </c>
      <c r="BU318" s="23" t="s">
        <v>97</v>
      </c>
    </row>
    <row r="319" spans="1:73" ht="82.8" x14ac:dyDescent="0.3">
      <c r="A319" s="123" t="s">
        <v>1234</v>
      </c>
      <c r="B319" s="122">
        <v>45828</v>
      </c>
      <c r="C319" s="122" t="s">
        <v>74</v>
      </c>
      <c r="D319" s="123">
        <v>38357530</v>
      </c>
      <c r="E319" s="123" t="s">
        <v>1235</v>
      </c>
      <c r="F319" s="129">
        <v>45766</v>
      </c>
      <c r="G319" s="124"/>
      <c r="BE319" s="125" t="s">
        <v>1267</v>
      </c>
      <c r="BG319" s="125" t="s">
        <v>1048</v>
      </c>
      <c r="BH319" s="125" t="s">
        <v>88</v>
      </c>
      <c r="BI319" s="126" t="s">
        <v>1276</v>
      </c>
      <c r="BJ319" s="126" t="s">
        <v>1267</v>
      </c>
      <c r="BL319" s="126" t="s">
        <v>1277</v>
      </c>
      <c r="BM319" s="124" t="s">
        <v>107</v>
      </c>
      <c r="BN319" s="124" t="s">
        <v>108</v>
      </c>
      <c r="BO319" s="124" t="s">
        <v>94</v>
      </c>
      <c r="BP319" s="127" t="s">
        <v>1278</v>
      </c>
      <c r="BQ319" s="127"/>
      <c r="BU319" s="23" t="s">
        <v>110</v>
      </c>
    </row>
    <row r="320" spans="1:73" ht="124.2" x14ac:dyDescent="0.3">
      <c r="A320" s="123" t="s">
        <v>1234</v>
      </c>
      <c r="B320" s="122">
        <v>45828</v>
      </c>
      <c r="C320" s="122" t="s">
        <v>74</v>
      </c>
      <c r="D320" s="123">
        <v>38359452</v>
      </c>
      <c r="E320" s="123" t="s">
        <v>1235</v>
      </c>
      <c r="F320" s="129">
        <v>45766</v>
      </c>
      <c r="G320" s="124"/>
      <c r="BE320" s="125" t="s">
        <v>1279</v>
      </c>
      <c r="BG320" s="125" t="s">
        <v>1002</v>
      </c>
      <c r="BH320" s="125" t="s">
        <v>270</v>
      </c>
      <c r="BI320" s="126" t="s">
        <v>1280</v>
      </c>
      <c r="BJ320" s="126" t="s">
        <v>1236</v>
      </c>
      <c r="BL320" s="126" t="s">
        <v>1281</v>
      </c>
      <c r="BM320" s="124" t="s">
        <v>92</v>
      </c>
      <c r="BN320" s="124" t="s">
        <v>93</v>
      </c>
      <c r="BO320" s="124" t="s">
        <v>124</v>
      </c>
      <c r="BP320" s="127"/>
      <c r="BQ320" s="127" t="s">
        <v>1282</v>
      </c>
      <c r="BU320" s="23" t="s">
        <v>97</v>
      </c>
    </row>
    <row r="321" spans="1:73" ht="262.2" x14ac:dyDescent="0.3">
      <c r="A321" s="123" t="s">
        <v>1234</v>
      </c>
      <c r="B321" s="122" t="s">
        <v>1283</v>
      </c>
      <c r="C321" s="122" t="s">
        <v>74</v>
      </c>
      <c r="D321" s="123">
        <v>38336474</v>
      </c>
      <c r="E321" s="123" t="s">
        <v>1284</v>
      </c>
      <c r="F321" s="129">
        <v>45763</v>
      </c>
      <c r="G321" s="124"/>
      <c r="BE321" s="125" t="s">
        <v>1285</v>
      </c>
      <c r="BG321" s="125" t="s">
        <v>1048</v>
      </c>
      <c r="BH321" s="125" t="s">
        <v>88</v>
      </c>
      <c r="BI321" s="126" t="s">
        <v>1286</v>
      </c>
      <c r="BJ321" s="126" t="s">
        <v>1267</v>
      </c>
      <c r="BL321" s="126" t="s">
        <v>1287</v>
      </c>
      <c r="BM321" s="124" t="s">
        <v>92</v>
      </c>
      <c r="BN321" s="124" t="s">
        <v>93</v>
      </c>
      <c r="BO321" s="124" t="s">
        <v>94</v>
      </c>
      <c r="BP321" s="127" t="s">
        <v>1288</v>
      </c>
      <c r="BQ321" s="127"/>
      <c r="BU321" s="23" t="s">
        <v>97</v>
      </c>
    </row>
    <row r="322" spans="1:73" ht="82.8" x14ac:dyDescent="0.3">
      <c r="A322" s="123" t="s">
        <v>1234</v>
      </c>
      <c r="B322" s="122">
        <v>45824</v>
      </c>
      <c r="C322" s="122" t="s">
        <v>74</v>
      </c>
      <c r="D322" s="123">
        <v>38346218</v>
      </c>
      <c r="E322" s="123" t="s">
        <v>1289</v>
      </c>
      <c r="F322" s="129">
        <v>45763</v>
      </c>
      <c r="G322" s="124"/>
      <c r="BE322" s="125" t="s">
        <v>1254</v>
      </c>
      <c r="BG322" s="125" t="s">
        <v>1048</v>
      </c>
      <c r="BH322" s="125" t="s">
        <v>270</v>
      </c>
      <c r="BI322" s="126" t="s">
        <v>1290</v>
      </c>
      <c r="BJ322" s="126" t="s">
        <v>1254</v>
      </c>
      <c r="BL322" s="126" t="s">
        <v>1291</v>
      </c>
      <c r="BM322" s="124" t="s">
        <v>107</v>
      </c>
      <c r="BN322" s="17" t="s">
        <v>220</v>
      </c>
      <c r="BO322" s="124" t="s">
        <v>94</v>
      </c>
      <c r="BP322" s="127" t="s">
        <v>1292</v>
      </c>
      <c r="BQ322" s="127"/>
      <c r="BU322" s="23" t="s">
        <v>110</v>
      </c>
    </row>
    <row r="323" spans="1:73" ht="124.2" x14ac:dyDescent="0.3">
      <c r="A323" s="123" t="s">
        <v>1234</v>
      </c>
      <c r="B323" s="122">
        <v>45826</v>
      </c>
      <c r="C323" s="122" t="s">
        <v>74</v>
      </c>
      <c r="D323" s="123">
        <v>38351203</v>
      </c>
      <c r="E323" s="123" t="s">
        <v>1293</v>
      </c>
      <c r="F323" s="129">
        <v>45765</v>
      </c>
      <c r="G323" s="124"/>
      <c r="BE323" s="125" t="s">
        <v>1294</v>
      </c>
      <c r="BG323" s="125" t="s">
        <v>1295</v>
      </c>
      <c r="BH323" s="125" t="s">
        <v>88</v>
      </c>
      <c r="BI323" s="126" t="s">
        <v>1296</v>
      </c>
      <c r="BJ323" s="126" t="s">
        <v>1294</v>
      </c>
      <c r="BL323" s="126" t="s">
        <v>1297</v>
      </c>
      <c r="BM323" s="124" t="s">
        <v>177</v>
      </c>
      <c r="BN323" s="17" t="s">
        <v>205</v>
      </c>
      <c r="BO323" s="124" t="s">
        <v>124</v>
      </c>
      <c r="BP323" s="127"/>
      <c r="BQ323" s="127" t="s">
        <v>1298</v>
      </c>
      <c r="BU323" s="13" t="s">
        <v>171</v>
      </c>
    </row>
    <row r="324" spans="1:73" ht="289.8" x14ac:dyDescent="0.3">
      <c r="A324" s="123" t="s">
        <v>1234</v>
      </c>
      <c r="B324" s="122">
        <v>45828</v>
      </c>
      <c r="C324" s="122" t="s">
        <v>74</v>
      </c>
      <c r="D324" s="123">
        <v>38363544</v>
      </c>
      <c r="E324" s="123" t="s">
        <v>1293</v>
      </c>
      <c r="F324" s="129">
        <v>45767</v>
      </c>
      <c r="G324" s="124"/>
      <c r="BE324" s="125" t="s">
        <v>620</v>
      </c>
      <c r="BG324" s="125" t="s">
        <v>1048</v>
      </c>
      <c r="BH324" s="125" t="s">
        <v>88</v>
      </c>
      <c r="BI324" s="126" t="s">
        <v>1299</v>
      </c>
      <c r="BJ324" s="126" t="s">
        <v>1058</v>
      </c>
      <c r="BL324" s="126" t="s">
        <v>1300</v>
      </c>
      <c r="BM324" s="124" t="s">
        <v>107</v>
      </c>
      <c r="BN324" s="17" t="s">
        <v>220</v>
      </c>
      <c r="BO324" s="124" t="s">
        <v>94</v>
      </c>
      <c r="BP324" s="127" t="s">
        <v>1301</v>
      </c>
      <c r="BQ324" s="127"/>
      <c r="BU324" s="23" t="s">
        <v>110</v>
      </c>
    </row>
    <row r="325" spans="1:73" ht="82.8" x14ac:dyDescent="0.3">
      <c r="A325" s="123" t="s">
        <v>1234</v>
      </c>
      <c r="B325" s="122">
        <v>45831</v>
      </c>
      <c r="C325" s="122" t="s">
        <v>74</v>
      </c>
      <c r="D325" s="123">
        <v>38372214</v>
      </c>
      <c r="E325" s="123" t="s">
        <v>1293</v>
      </c>
      <c r="F325" s="129">
        <v>45770</v>
      </c>
      <c r="G325" s="124"/>
      <c r="BE325" s="125" t="s">
        <v>1302</v>
      </c>
      <c r="BG325" s="125" t="s">
        <v>1048</v>
      </c>
      <c r="BH325" s="125" t="s">
        <v>88</v>
      </c>
      <c r="BI325" s="126" t="s">
        <v>1303</v>
      </c>
      <c r="BJ325" s="126"/>
      <c r="BL325" s="126"/>
      <c r="BM325" s="124" t="s">
        <v>107</v>
      </c>
      <c r="BN325" s="124"/>
      <c r="BO325" s="124" t="s">
        <v>124</v>
      </c>
      <c r="BP325" s="127"/>
      <c r="BQ325" s="127"/>
      <c r="BU325" s="23"/>
    </row>
    <row r="326" spans="1:73" ht="41.4" x14ac:dyDescent="0.3">
      <c r="A326" s="123" t="s">
        <v>1234</v>
      </c>
      <c r="B326" s="122">
        <v>45832</v>
      </c>
      <c r="C326" s="122" t="s">
        <v>74</v>
      </c>
      <c r="D326" s="123">
        <v>38376940</v>
      </c>
      <c r="E326" s="123" t="s">
        <v>1293</v>
      </c>
      <c r="F326" s="129">
        <v>45771</v>
      </c>
      <c r="G326" s="124"/>
      <c r="BE326" s="125" t="s">
        <v>1302</v>
      </c>
      <c r="BG326" s="125" t="s">
        <v>1304</v>
      </c>
      <c r="BH326" s="125" t="s">
        <v>88</v>
      </c>
      <c r="BI326" s="126" t="s">
        <v>1305</v>
      </c>
      <c r="BJ326" s="126" t="s">
        <v>1302</v>
      </c>
      <c r="BL326" s="126" t="s">
        <v>1306</v>
      </c>
      <c r="BM326" s="124" t="s">
        <v>145</v>
      </c>
      <c r="BN326" s="124" t="s">
        <v>444</v>
      </c>
      <c r="BO326" s="124" t="s">
        <v>94</v>
      </c>
      <c r="BP326" s="127" t="s">
        <v>1307</v>
      </c>
      <c r="BQ326" s="127"/>
      <c r="BU326" s="23" t="s">
        <v>97</v>
      </c>
    </row>
    <row r="327" spans="1:73" ht="138" x14ac:dyDescent="0.3">
      <c r="A327" s="123" t="s">
        <v>1234</v>
      </c>
      <c r="B327" s="122">
        <v>45833</v>
      </c>
      <c r="C327" s="122" t="s">
        <v>74</v>
      </c>
      <c r="D327" s="123">
        <v>38384074</v>
      </c>
      <c r="E327" s="123" t="s">
        <v>1293</v>
      </c>
      <c r="F327" s="129">
        <v>45772</v>
      </c>
      <c r="G327" s="124"/>
      <c r="BE327" s="125" t="s">
        <v>620</v>
      </c>
      <c r="BG327" s="125" t="s">
        <v>1048</v>
      </c>
      <c r="BH327" s="125" t="s">
        <v>88</v>
      </c>
      <c r="BI327" s="126" t="s">
        <v>1308</v>
      </c>
      <c r="BJ327" s="126" t="s">
        <v>1309</v>
      </c>
      <c r="BL327" s="126" t="s">
        <v>1310</v>
      </c>
      <c r="BM327" s="124" t="s">
        <v>92</v>
      </c>
      <c r="BN327" s="124" t="s">
        <v>93</v>
      </c>
      <c r="BO327" s="124" t="s">
        <v>124</v>
      </c>
      <c r="BP327" s="127"/>
      <c r="BQ327" s="127" t="s">
        <v>1311</v>
      </c>
      <c r="BU327" s="23" t="s">
        <v>97</v>
      </c>
    </row>
    <row r="328" spans="1:73" ht="207" x14ac:dyDescent="0.3">
      <c r="A328" s="123" t="s">
        <v>1234</v>
      </c>
      <c r="B328" s="122">
        <v>45834</v>
      </c>
      <c r="C328" s="122" t="s">
        <v>74</v>
      </c>
      <c r="D328" s="123">
        <v>38389478</v>
      </c>
      <c r="E328" s="123" t="s">
        <v>1293</v>
      </c>
      <c r="F328" s="129">
        <v>45773</v>
      </c>
      <c r="G328" s="124"/>
      <c r="BE328" s="125" t="s">
        <v>620</v>
      </c>
      <c r="BG328" s="125" t="s">
        <v>1048</v>
      </c>
      <c r="BH328" s="125" t="s">
        <v>88</v>
      </c>
      <c r="BI328" s="126" t="s">
        <v>1312</v>
      </c>
      <c r="BJ328" s="126" t="s">
        <v>620</v>
      </c>
      <c r="BL328" s="126" t="s">
        <v>1313</v>
      </c>
      <c r="BM328" s="124" t="s">
        <v>107</v>
      </c>
      <c r="BN328" s="124" t="s">
        <v>526</v>
      </c>
      <c r="BO328" s="124" t="s">
        <v>94</v>
      </c>
      <c r="BP328" s="127" t="s">
        <v>1314</v>
      </c>
      <c r="BQ328" s="127"/>
      <c r="BU328" s="23" t="s">
        <v>110</v>
      </c>
    </row>
    <row r="329" spans="1:73" ht="55.2" x14ac:dyDescent="0.3">
      <c r="A329" s="123" t="s">
        <v>1234</v>
      </c>
      <c r="B329" s="122">
        <v>45834</v>
      </c>
      <c r="C329" s="122" t="s">
        <v>74</v>
      </c>
      <c r="D329" s="123">
        <v>38390987</v>
      </c>
      <c r="E329" s="123" t="s">
        <v>1293</v>
      </c>
      <c r="F329" s="129">
        <v>45773</v>
      </c>
      <c r="G329" s="124"/>
      <c r="BE329" s="125" t="s">
        <v>1302</v>
      </c>
      <c r="BG329" s="125" t="s">
        <v>941</v>
      </c>
      <c r="BH329" s="125" t="s">
        <v>88</v>
      </c>
      <c r="BI329" s="126" t="s">
        <v>1315</v>
      </c>
      <c r="BJ329" s="126" t="s">
        <v>1302</v>
      </c>
      <c r="BL329" s="126" t="s">
        <v>1316</v>
      </c>
      <c r="BM329" s="124" t="s">
        <v>177</v>
      </c>
      <c r="BN329" s="28" t="s">
        <v>715</v>
      </c>
      <c r="BO329" s="124" t="s">
        <v>124</v>
      </c>
      <c r="BP329" s="127"/>
      <c r="BQ329" s="127" t="s">
        <v>1317</v>
      </c>
      <c r="BU329" s="13" t="s">
        <v>171</v>
      </c>
    </row>
    <row r="330" spans="1:73" ht="82.8" x14ac:dyDescent="0.3">
      <c r="A330" s="123" t="s">
        <v>1234</v>
      </c>
      <c r="B330" s="122">
        <v>45833</v>
      </c>
      <c r="C330" s="122" t="s">
        <v>74</v>
      </c>
      <c r="D330" s="123">
        <v>38389787</v>
      </c>
      <c r="E330" s="123" t="s">
        <v>1293</v>
      </c>
      <c r="F330" s="129">
        <v>45772</v>
      </c>
      <c r="G330" s="124"/>
      <c r="BE330" s="125" t="s">
        <v>1249</v>
      </c>
      <c r="BG330" s="125" t="s">
        <v>87</v>
      </c>
      <c r="BH330" s="125" t="s">
        <v>404</v>
      </c>
      <c r="BI330" s="126" t="s">
        <v>1318</v>
      </c>
      <c r="BJ330" s="126" t="s">
        <v>1249</v>
      </c>
      <c r="BL330" s="126" t="s">
        <v>1319</v>
      </c>
      <c r="BM330" s="124" t="s">
        <v>145</v>
      </c>
      <c r="BN330" s="124" t="s">
        <v>241</v>
      </c>
      <c r="BO330" s="124" t="s">
        <v>94</v>
      </c>
      <c r="BP330" s="127" t="s">
        <v>1320</v>
      </c>
      <c r="BQ330" s="127"/>
      <c r="BU330" s="23" t="s">
        <v>110</v>
      </c>
    </row>
    <row r="331" spans="1:73" ht="69" x14ac:dyDescent="0.3">
      <c r="A331" s="123" t="s">
        <v>1234</v>
      </c>
      <c r="B331" s="122">
        <v>45835</v>
      </c>
      <c r="C331" s="122" t="s">
        <v>74</v>
      </c>
      <c r="D331" s="123">
        <v>38396946</v>
      </c>
      <c r="E331" s="123" t="s">
        <v>1293</v>
      </c>
      <c r="F331" s="129">
        <v>45774</v>
      </c>
      <c r="G331" s="124"/>
      <c r="BE331" s="125" t="s">
        <v>634</v>
      </c>
      <c r="BG331" s="125" t="s">
        <v>87</v>
      </c>
      <c r="BH331" s="125" t="s">
        <v>404</v>
      </c>
      <c r="BI331" s="126" t="s">
        <v>1321</v>
      </c>
      <c r="BJ331" s="126" t="s">
        <v>1302</v>
      </c>
      <c r="BL331" s="126" t="s">
        <v>1322</v>
      </c>
      <c r="BM331" s="124" t="s">
        <v>145</v>
      </c>
      <c r="BN331" s="124" t="s">
        <v>577</v>
      </c>
      <c r="BO331" s="124" t="s">
        <v>94</v>
      </c>
      <c r="BP331" s="127" t="s">
        <v>1323</v>
      </c>
      <c r="BQ331" s="127"/>
      <c r="BU331" s="23" t="s">
        <v>97</v>
      </c>
    </row>
    <row r="332" spans="1:73" ht="55.2" x14ac:dyDescent="0.3">
      <c r="A332" s="123" t="s">
        <v>1234</v>
      </c>
      <c r="B332" s="122">
        <v>45835</v>
      </c>
      <c r="C332" s="122" t="s">
        <v>74</v>
      </c>
      <c r="D332" s="123">
        <v>38398992</v>
      </c>
      <c r="E332" s="123" t="s">
        <v>1293</v>
      </c>
      <c r="F332" s="129">
        <v>45774</v>
      </c>
      <c r="G332" s="124"/>
      <c r="BE332" s="125" t="s">
        <v>1249</v>
      </c>
      <c r="BG332" s="125" t="s">
        <v>941</v>
      </c>
      <c r="BH332" s="125" t="s">
        <v>88</v>
      </c>
      <c r="BI332" s="126" t="s">
        <v>1324</v>
      </c>
      <c r="BJ332" s="126" t="s">
        <v>1325</v>
      </c>
      <c r="BL332" s="126" t="s">
        <v>1326</v>
      </c>
      <c r="BM332" s="124" t="s">
        <v>107</v>
      </c>
      <c r="BN332" s="17" t="s">
        <v>220</v>
      </c>
      <c r="BO332" s="124" t="s">
        <v>94</v>
      </c>
      <c r="BP332" s="127" t="s">
        <v>1327</v>
      </c>
      <c r="BQ332" s="127"/>
      <c r="BU332" s="23" t="s">
        <v>110</v>
      </c>
    </row>
    <row r="333" spans="1:73" ht="82.8" x14ac:dyDescent="0.3">
      <c r="A333" s="123" t="s">
        <v>1234</v>
      </c>
      <c r="B333" s="122">
        <v>45835</v>
      </c>
      <c r="C333" s="122" t="s">
        <v>74</v>
      </c>
      <c r="D333" s="123">
        <v>38399968</v>
      </c>
      <c r="E333" s="123" t="s">
        <v>1293</v>
      </c>
      <c r="F333" s="129">
        <v>45774</v>
      </c>
      <c r="G333" s="124"/>
      <c r="BE333" s="125" t="s">
        <v>620</v>
      </c>
      <c r="BG333" s="125" t="s">
        <v>87</v>
      </c>
      <c r="BH333" s="125" t="s">
        <v>88</v>
      </c>
      <c r="BI333" s="126" t="s">
        <v>1328</v>
      </c>
      <c r="BJ333" s="126"/>
      <c r="BL333" s="126" t="s">
        <v>1329</v>
      </c>
      <c r="BM333" s="124" t="s">
        <v>107</v>
      </c>
      <c r="BN333" s="17" t="s">
        <v>220</v>
      </c>
      <c r="BO333" s="124" t="s">
        <v>94</v>
      </c>
      <c r="BP333" s="127" t="s">
        <v>1330</v>
      </c>
      <c r="BQ333" s="127"/>
      <c r="BU333" s="23" t="s">
        <v>110</v>
      </c>
    </row>
    <row r="334" spans="1:73" ht="27.6" x14ac:dyDescent="0.3">
      <c r="A334" s="123" t="s">
        <v>1234</v>
      </c>
      <c r="B334" s="122">
        <v>45833</v>
      </c>
      <c r="C334" s="122" t="s">
        <v>74</v>
      </c>
      <c r="D334" s="123">
        <v>38404784</v>
      </c>
      <c r="E334" s="123" t="s">
        <v>1331</v>
      </c>
      <c r="F334" s="129">
        <v>45772</v>
      </c>
      <c r="G334" s="124"/>
      <c r="BE334" s="125" t="s">
        <v>620</v>
      </c>
      <c r="BG334" s="125" t="s">
        <v>87</v>
      </c>
      <c r="BH334" s="125" t="s">
        <v>88</v>
      </c>
      <c r="BI334" s="126" t="s">
        <v>1332</v>
      </c>
      <c r="BJ334" s="126" t="s">
        <v>625</v>
      </c>
      <c r="BL334" s="126" t="s">
        <v>1333</v>
      </c>
      <c r="BM334" s="124"/>
      <c r="BN334" s="124"/>
      <c r="BO334" s="125" t="s">
        <v>1333</v>
      </c>
      <c r="BP334" s="127"/>
      <c r="BQ334" s="127"/>
      <c r="BU334" s="23"/>
    </row>
    <row r="335" spans="1:73" ht="69" x14ac:dyDescent="0.3">
      <c r="A335" s="123" t="s">
        <v>1234</v>
      </c>
      <c r="B335" s="122">
        <v>45833</v>
      </c>
      <c r="C335" s="122" t="s">
        <v>74</v>
      </c>
      <c r="D335" s="123">
        <v>38404534</v>
      </c>
      <c r="E335" s="123" t="s">
        <v>1334</v>
      </c>
      <c r="F335" s="129">
        <v>45772</v>
      </c>
      <c r="G335" s="124"/>
      <c r="BE335" s="125" t="s">
        <v>620</v>
      </c>
      <c r="BG335" s="125" t="s">
        <v>87</v>
      </c>
      <c r="BH335" s="125" t="s">
        <v>88</v>
      </c>
      <c r="BI335" s="126" t="s">
        <v>1335</v>
      </c>
      <c r="BJ335" s="126" t="s">
        <v>625</v>
      </c>
      <c r="BL335" s="126" t="s">
        <v>1333</v>
      </c>
      <c r="BM335" s="124"/>
      <c r="BN335" s="124"/>
      <c r="BO335" s="125" t="s">
        <v>1333</v>
      </c>
      <c r="BP335" s="127"/>
      <c r="BQ335" s="127"/>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2025-09-10T09:43:27Z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